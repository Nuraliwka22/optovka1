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казы" sheetId="1" state="visible" r:id="rId3"/>
    <sheet name="Каталог" sheetId="2" state="visible" r:id="rId4"/>
    <sheet name="Итоги" sheetId="3" state="visible" r:id="rId5"/>
    <sheet name="Накладные" sheetId="4" state="visible" r:id="rId6"/>
  </sheets>
  <definedNames>
    <definedName function="false" hidden="false" localSheetId="3" name="_xlnm.Print_Area" vbProcedure="false">Накладные!$A$1:$M$470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<sst xmlns="http://schemas.openxmlformats.org/spreadsheetml/2006/main" count="148" uniqueCount="73">
  <si>
    <t xml:space="preserve">Дата заказа:</t>
  </si>
  <si>
    <t xml:space="preserve">← введите дату вручную, она подставится во все накладные</t>
  </si>
  <si>
    <t xml:space="preserve">Десерт/точка</t>
  </si>
  <si>
    <t xml:space="preserve">Арена Урбо</t>
  </si>
  <si>
    <t xml:space="preserve">Карсити</t>
  </si>
  <si>
    <t xml:space="preserve">Ашимова</t>
  </si>
  <si>
    <t xml:space="preserve">Гагарина</t>
  </si>
  <si>
    <t xml:space="preserve">Алапарк</t>
  </si>
  <si>
    <t xml:space="preserve">Аксай</t>
  </si>
  <si>
    <t xml:space="preserve">Сайран</t>
  </si>
  <si>
    <t xml:space="preserve">Арена Эксперт</t>
  </si>
  <si>
    <t xml:space="preserve">Навои</t>
  </si>
  <si>
    <t xml:space="preserve">Точка 10</t>
  </si>
  <si>
    <t xml:space="preserve">Точка 11</t>
  </si>
  <si>
    <t xml:space="preserve">Точка 12</t>
  </si>
  <si>
    <t xml:space="preserve">Точка 13</t>
  </si>
  <si>
    <t xml:space="preserve">Точка 14</t>
  </si>
  <si>
    <t xml:space="preserve">Точка 15</t>
  </si>
  <si>
    <t xml:space="preserve">Точка 16</t>
  </si>
  <si>
    <t xml:space="preserve">Точка 17</t>
  </si>
  <si>
    <t xml:space="preserve">Точка 18</t>
  </si>
  <si>
    <t xml:space="preserve">Точка 19</t>
  </si>
  <si>
    <t xml:space="preserve">Точка 20</t>
  </si>
  <si>
    <t xml:space="preserve">Точка 21</t>
  </si>
  <si>
    <t xml:space="preserve">Точка 22</t>
  </si>
  <si>
    <t xml:space="preserve">Точка 23</t>
  </si>
  <si>
    <t xml:space="preserve">Точка 24</t>
  </si>
  <si>
    <t xml:space="preserve">Вупи пай</t>
  </si>
  <si>
    <t xml:space="preserve">Фисташковый рулет</t>
  </si>
  <si>
    <t xml:space="preserve">Молочная девочка</t>
  </si>
  <si>
    <t xml:space="preserve">Медовик</t>
  </si>
  <si>
    <t xml:space="preserve">Испанский чизкейк</t>
  </si>
  <si>
    <t xml:space="preserve">Казакша чизкейк</t>
  </si>
  <si>
    <t xml:space="preserve">Картошка</t>
  </si>
  <si>
    <t xml:space="preserve">Шоколадный брауни</t>
  </si>
  <si>
    <t xml:space="preserve">Мини брауни</t>
  </si>
  <si>
    <t xml:space="preserve">Кукис Фисташка</t>
  </si>
  <si>
    <t xml:space="preserve">Кукис Брауни</t>
  </si>
  <si>
    <t xml:space="preserve">Кукис Красный Бархат</t>
  </si>
  <si>
    <t xml:space="preserve">Кукис Классика</t>
  </si>
  <si>
    <t xml:space="preserve">Брауни комплимент</t>
  </si>
  <si>
    <t xml:space="preserve">Тарт Клубника</t>
  </si>
  <si>
    <t xml:space="preserve">Тарт Малина</t>
  </si>
  <si>
    <t xml:space="preserve">Тарт Баноффи</t>
  </si>
  <si>
    <t xml:space="preserve">Круассан классика</t>
  </si>
  <si>
    <t xml:space="preserve">Круассан миндальный</t>
  </si>
  <si>
    <t xml:space="preserve">Круассан Фисташка</t>
  </si>
  <si>
    <t xml:space="preserve">Круассан с сыром</t>
  </si>
  <si>
    <t xml:space="preserve">Круассан со сгущенкой</t>
  </si>
  <si>
    <t xml:space="preserve">Круассан с шоколадом</t>
  </si>
  <si>
    <t xml:space="preserve">Круассан для сэндвичей</t>
  </si>
  <si>
    <t xml:space="preserve">Мак булочка</t>
  </si>
  <si>
    <t xml:space="preserve">Сырники</t>
  </si>
  <si>
    <t xml:space="preserve">Гранола</t>
  </si>
  <si>
    <t xml:space="preserve">Вводите только количество в ячейки. Пусто = заказа нет. Цены и итоги считаются автоматически.</t>
  </si>
  <si>
    <t xml:space="preserve">Наименование</t>
  </si>
  <si>
    <t xml:space="preserve">Ед.</t>
  </si>
  <si>
    <t xml:space="preserve">Цена</t>
  </si>
  <si>
    <t xml:space="preserve">Примечание</t>
  </si>
  <si>
    <t xml:space="preserve">Шт</t>
  </si>
  <si>
    <t xml:space="preserve">Порция</t>
  </si>
  <si>
    <t xml:space="preserve">Цена не указана</t>
  </si>
  <si>
    <t xml:space="preserve">Коробка</t>
  </si>
  <si>
    <t xml:space="preserve">50 шт в коробке</t>
  </si>
  <si>
    <t xml:space="preserve">Упаковка</t>
  </si>
  <si>
    <t xml:space="preserve">250 гр в упаковке</t>
  </si>
  <si>
    <t xml:space="preserve">Кофейня</t>
  </si>
  <si>
    <t xml:space="preserve">Количество позиций</t>
  </si>
  <si>
    <t xml:space="preserve">Общая сумма</t>
  </si>
  <si>
    <t xml:space="preserve">ИТОГО</t>
  </si>
  <si>
    <t xml:space="preserve">Товар</t>
  </si>
  <si>
    <t xml:space="preserve">Кол-во заказано</t>
  </si>
  <si>
    <t xml:space="preserve">Сумма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</si>
</sst>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0;;;"/>
    <numFmt numFmtId="167" formatCode="#,##0&quot; тг&quot;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F5C4B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C5700"/>
      <rgbColor rgb="FF993366"/>
      <rgbColor rgb="FF333399"/>
      <rgbColor rgb="FF2F5C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5" min="2" style="0" width="12"/>
  </cols>
  <sheetData>
    <row r="1" customFormat="false" ht="19.5" hidden="false" customHeight="true" outlineLevel="0" collapsed="false">
      <c r="A1" s="1" t="s">
        <v>0</v>
      </c>
      <c r="B1" s="2" t="n">
        <v>46287</v>
      </c>
      <c r="C1" s="3" t="s">
        <v>1</v>
      </c>
      <c r="D1" s="3"/>
    </row>
    <row r="2" customFormat="false" ht="30" hidden="false" customHeight="true" outlineLevel="0" collapsed="false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customFormat="false" ht="15" hidden="false" customHeight="false" outlineLevel="0" collapsed="false">
      <c r="A3" s="6" t="s">
        <v>27</v>
      </c>
      <c r="B3" s="7" t="n">
        <v>6</v>
      </c>
      <c r="C3" s="7" t="n">
        <v>3</v>
      </c>
      <c r="D3" s="7"/>
      <c r="E3" s="7"/>
      <c r="F3" s="7" t="n">
        <v>6</v>
      </c>
      <c r="G3" s="7" t="n">
        <v>4</v>
      </c>
      <c r="H3" s="7"/>
      <c r="I3" s="7"/>
      <c r="J3" s="7" t="n">
        <v>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customFormat="false" ht="15" hidden="false" customHeight="false" outlineLevel="0" collapsed="false">
      <c r="A4" s="6" t="s">
        <v>28</v>
      </c>
      <c r="B4" s="7" t="n">
        <v>5</v>
      </c>
      <c r="C4" s="7"/>
      <c r="D4" s="7" t="n">
        <v>2</v>
      </c>
      <c r="E4" s="7" t="n">
        <v>1</v>
      </c>
      <c r="F4" s="7" t="n">
        <v>6</v>
      </c>
      <c r="G4" s="7" t="n">
        <v>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customFormat="false" ht="15" hidden="false" customHeight="false" outlineLevel="0" collapsed="false">
      <c r="A5" s="6" t="s">
        <v>29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customFormat="false" ht="15" hidden="false" customHeight="false" outlineLevel="0" collapsed="false">
      <c r="A6" s="6" t="s">
        <v>30</v>
      </c>
      <c r="B6" s="7" t="n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customFormat="false" ht="15" hidden="false" customHeight="false" outlineLevel="0" collapsed="false">
      <c r="A7" s="6" t="s">
        <v>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customFormat="false" ht="15" hidden="false" customHeight="false" outlineLevel="0" collapsed="false">
      <c r="A8" s="6" t="s">
        <v>32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customFormat="false" ht="15" hidden="false" customHeight="false" outlineLevel="0" collapsed="false">
      <c r="A9" s="6" t="s">
        <v>33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customFormat="false" ht="15" hidden="false" customHeight="false" outlineLevel="0" collapsed="false">
      <c r="A10" s="6" t="s">
        <v>34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customFormat="false" ht="15" hidden="false" customHeight="false" outlineLevel="0" collapsed="false">
      <c r="A11" s="6" t="s">
        <v>35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customFormat="false" ht="15" hidden="false" customHeight="false" outlineLevel="0" collapsed="false">
      <c r="A12" s="6" t="s">
        <v>36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customFormat="false" ht="15" hidden="false" customHeight="false" outlineLevel="0" collapsed="false">
      <c r="A13" s="6" t="s">
        <v>37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customFormat="false" ht="15" hidden="false" customHeight="false" outlineLevel="0" collapsed="false">
      <c r="A14" s="6" t="s">
        <v>38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customFormat="false" ht="15" hidden="false" customHeight="false" outlineLevel="0" collapsed="false">
      <c r="A15" s="6" t="s">
        <v>39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customFormat="false" ht="15" hidden="false" customHeight="false" outlineLevel="0" collapsed="false">
      <c r="A16" s="6" t="s">
        <v>40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customFormat="false" ht="15" hidden="false" customHeight="false" outlineLevel="0" collapsed="false">
      <c r="A17" s="6" t="s">
        <v>41</v>
      </c>
      <c r="B17" s="7" t="n">
        <v>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customFormat="false" ht="15" hidden="false" customHeight="false" outlineLevel="0" collapsed="false">
      <c r="A18" s="6" t="s">
        <v>42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customFormat="false" ht="15" hidden="false" customHeight="false" outlineLevel="0" collapsed="false">
      <c r="A19" s="6" t="s">
        <v>43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customFormat="false" ht="15" hidden="false" customHeight="false" outlineLevel="0" collapsed="false">
      <c r="A20" s="6" t="s">
        <v>44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customFormat="false" ht="15" hidden="false" customHeight="false" outlineLevel="0" collapsed="false">
      <c r="A21" s="6" t="s">
        <v>45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customFormat="false" ht="15" hidden="false" customHeight="false" outlineLevel="0" collapsed="false">
      <c r="A22" s="6" t="s">
        <v>46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customFormat="false" ht="15" hidden="false" customHeight="false" outlineLevel="0" collapsed="false">
      <c r="A23" s="6" t="s">
        <v>47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customFormat="false" ht="15" hidden="false" customHeight="false" outlineLevel="0" collapsed="false">
      <c r="A24" s="6" t="s">
        <v>48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customFormat="false" ht="15" hidden="false" customHeight="false" outlineLevel="0" collapsed="false">
      <c r="A25" s="6" t="s">
        <v>49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customFormat="false" ht="15" hidden="false" customHeight="false" outlineLevel="0" collapsed="false">
      <c r="A26" s="6" t="s">
        <v>50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customFormat="false" ht="15" hidden="false" customHeight="false" outlineLevel="0" collapsed="false">
      <c r="A27" s="6" t="s">
        <v>51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customFormat="false" ht="15" hidden="false" customHeight="false" outlineLevel="0" collapsed="false">
      <c r="A28" s="6" t="s">
        <v>52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customFormat="false" ht="15" hidden="false" customHeight="false" outlineLevel="0" collapsed="false">
      <c r="A29" s="6" t="s">
        <v>53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1" customFormat="false" ht="15" hidden="false" customHeight="false" outlineLevel="0" collapsed="false">
      <c r="A31" s="8" t="s">
        <v>54</v>
      </c>
    </row>
  </sheetData>
  <mergeCells count="1">
    <mergeCell ref="C1:D1"/>
  </mergeCells>
  <dataValidations count="1">
    <dataValidation allowBlank="true" error="Введите целое неотрицательное число (или оставьте пустым)." errorStyle="stop" errorTitle="Некорректное значение" operator="greaterThanOrEqual" showDropDown="false" showErrorMessage="true" showInputMessage="false" sqref="B3:Y29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55</v>
      </c>
      <c r="B1" s="4" t="s">
        <v>56</v>
      </c>
      <c r="C1" s="4" t="s">
        <v>57</v>
      </c>
      <c r="D1" s="4" t="s">
        <v>58</v>
      </c>
    </row>
    <row r="2" customFormat="false" ht="15" hidden="false" customHeight="false" outlineLevel="0" collapsed="false">
      <c r="A2" s="9" t="s">
        <v>27</v>
      </c>
      <c r="B2" s="10" t="s">
        <v>59</v>
      </c>
      <c r="C2" s="11" t="n">
        <v>690</v>
      </c>
      <c r="D2" s="12"/>
    </row>
    <row r="3" customFormat="false" ht="15" hidden="false" customHeight="false" outlineLevel="0" collapsed="false">
      <c r="A3" s="9" t="s">
        <v>28</v>
      </c>
      <c r="B3" s="10" t="s">
        <v>59</v>
      </c>
      <c r="C3" s="11" t="n">
        <v>890</v>
      </c>
      <c r="D3" s="12"/>
    </row>
    <row r="4" customFormat="false" ht="15" hidden="false" customHeight="false" outlineLevel="0" collapsed="false">
      <c r="A4" s="9" t="s">
        <v>29</v>
      </c>
      <c r="B4" s="10" t="s">
        <v>59</v>
      </c>
      <c r="C4" s="11" t="n">
        <v>590</v>
      </c>
      <c r="D4" s="12"/>
    </row>
    <row r="5" customFormat="false" ht="15" hidden="false" customHeight="false" outlineLevel="0" collapsed="false">
      <c r="A5" s="9" t="s">
        <v>30</v>
      </c>
      <c r="B5" s="10" t="s">
        <v>59</v>
      </c>
      <c r="C5" s="11" t="n">
        <v>590</v>
      </c>
      <c r="D5" s="12"/>
    </row>
    <row r="6" customFormat="false" ht="15" hidden="false" customHeight="false" outlineLevel="0" collapsed="false">
      <c r="A6" s="9" t="s">
        <v>31</v>
      </c>
      <c r="B6" s="10" t="s">
        <v>59</v>
      </c>
      <c r="C6" s="11" t="n">
        <v>690</v>
      </c>
      <c r="D6" s="12"/>
    </row>
    <row r="7" customFormat="false" ht="15" hidden="false" customHeight="false" outlineLevel="0" collapsed="false">
      <c r="A7" s="9" t="s">
        <v>32</v>
      </c>
      <c r="B7" s="10" t="s">
        <v>59</v>
      </c>
      <c r="C7" s="11" t="n">
        <v>790</v>
      </c>
      <c r="D7" s="12"/>
    </row>
    <row r="8" customFormat="false" ht="15" hidden="false" customHeight="false" outlineLevel="0" collapsed="false">
      <c r="A8" s="9" t="s">
        <v>33</v>
      </c>
      <c r="B8" s="10" t="s">
        <v>59</v>
      </c>
      <c r="C8" s="11" t="n">
        <v>590</v>
      </c>
      <c r="D8" s="12"/>
    </row>
    <row r="9" customFormat="false" ht="15" hidden="false" customHeight="false" outlineLevel="0" collapsed="false">
      <c r="A9" s="9" t="s">
        <v>34</v>
      </c>
      <c r="B9" s="10" t="s">
        <v>59</v>
      </c>
      <c r="C9" s="11" t="n">
        <v>750</v>
      </c>
      <c r="D9" s="12"/>
    </row>
    <row r="10" customFormat="false" ht="15" hidden="false" customHeight="false" outlineLevel="0" collapsed="false">
      <c r="A10" s="9" t="s">
        <v>35</v>
      </c>
      <c r="B10" s="10" t="s">
        <v>59</v>
      </c>
      <c r="C10" s="11" t="n">
        <v>890</v>
      </c>
      <c r="D10" s="12"/>
    </row>
    <row r="11" customFormat="false" ht="15" hidden="false" customHeight="false" outlineLevel="0" collapsed="false">
      <c r="A11" s="9" t="s">
        <v>36</v>
      </c>
      <c r="B11" s="10" t="s">
        <v>59</v>
      </c>
      <c r="C11" s="11" t="n">
        <v>500</v>
      </c>
      <c r="D11" s="12"/>
    </row>
    <row r="12" customFormat="false" ht="15" hidden="false" customHeight="false" outlineLevel="0" collapsed="false">
      <c r="A12" s="9" t="s">
        <v>37</v>
      </c>
      <c r="B12" s="10" t="s">
        <v>59</v>
      </c>
      <c r="C12" s="11" t="n">
        <v>500</v>
      </c>
      <c r="D12" s="12"/>
    </row>
    <row r="13" customFormat="false" ht="15" hidden="false" customHeight="false" outlineLevel="0" collapsed="false">
      <c r="A13" s="9" t="s">
        <v>38</v>
      </c>
      <c r="B13" s="10" t="s">
        <v>59</v>
      </c>
      <c r="C13" s="11" t="n">
        <v>500</v>
      </c>
      <c r="D13" s="12"/>
    </row>
    <row r="14" customFormat="false" ht="15" hidden="false" customHeight="false" outlineLevel="0" collapsed="false">
      <c r="A14" s="9" t="s">
        <v>39</v>
      </c>
      <c r="B14" s="10" t="s">
        <v>59</v>
      </c>
      <c r="C14" s="11" t="n">
        <v>500</v>
      </c>
      <c r="D14" s="12"/>
    </row>
    <row r="15" customFormat="false" ht="15" hidden="false" customHeight="false" outlineLevel="0" collapsed="false">
      <c r="A15" s="9" t="s">
        <v>40</v>
      </c>
      <c r="B15" s="10" t="s">
        <v>60</v>
      </c>
      <c r="C15" s="11"/>
      <c r="D15" s="12" t="s">
        <v>61</v>
      </c>
    </row>
    <row r="16" customFormat="false" ht="15" hidden="false" customHeight="false" outlineLevel="0" collapsed="false">
      <c r="A16" s="9" t="s">
        <v>41</v>
      </c>
      <c r="B16" s="10" t="s">
        <v>59</v>
      </c>
      <c r="C16" s="11" t="n">
        <v>400</v>
      </c>
      <c r="D16" s="12"/>
    </row>
    <row r="17" customFormat="false" ht="15" hidden="false" customHeight="false" outlineLevel="0" collapsed="false">
      <c r="A17" s="9" t="s">
        <v>42</v>
      </c>
      <c r="B17" s="10" t="s">
        <v>59</v>
      </c>
      <c r="C17" s="11" t="n">
        <v>400</v>
      </c>
      <c r="D17" s="12"/>
    </row>
    <row r="18" customFormat="false" ht="15" hidden="false" customHeight="false" outlineLevel="0" collapsed="false">
      <c r="A18" s="9" t="s">
        <v>43</v>
      </c>
      <c r="B18" s="10" t="s">
        <v>59</v>
      </c>
      <c r="C18" s="11" t="n">
        <v>400</v>
      </c>
      <c r="D18" s="12"/>
    </row>
    <row r="19" customFormat="false" ht="15" hidden="false" customHeight="false" outlineLevel="0" collapsed="false">
      <c r="A19" s="9" t="s">
        <v>44</v>
      </c>
      <c r="B19" s="10" t="s">
        <v>59</v>
      </c>
      <c r="C19" s="11" t="n">
        <v>590</v>
      </c>
      <c r="D19" s="12"/>
    </row>
    <row r="20" customFormat="false" ht="15" hidden="false" customHeight="false" outlineLevel="0" collapsed="false">
      <c r="A20" s="9" t="s">
        <v>45</v>
      </c>
      <c r="B20" s="10" t="s">
        <v>59</v>
      </c>
      <c r="C20" s="11" t="n">
        <v>920</v>
      </c>
      <c r="D20" s="12"/>
    </row>
    <row r="21" customFormat="false" ht="15" hidden="false" customHeight="false" outlineLevel="0" collapsed="false">
      <c r="A21" s="9" t="s">
        <v>46</v>
      </c>
      <c r="B21" s="10" t="s">
        <v>59</v>
      </c>
      <c r="C21" s="11" t="n">
        <v>850</v>
      </c>
      <c r="D21" s="12"/>
    </row>
    <row r="22" customFormat="false" ht="15" hidden="false" customHeight="false" outlineLevel="0" collapsed="false">
      <c r="A22" s="9" t="s">
        <v>47</v>
      </c>
      <c r="B22" s="10" t="s">
        <v>59</v>
      </c>
      <c r="C22" s="11" t="n">
        <v>890</v>
      </c>
      <c r="D22" s="12"/>
    </row>
    <row r="23" customFormat="false" ht="15" hidden="false" customHeight="false" outlineLevel="0" collapsed="false">
      <c r="A23" s="9" t="s">
        <v>48</v>
      </c>
      <c r="B23" s="10" t="s">
        <v>59</v>
      </c>
      <c r="C23" s="11" t="n">
        <v>650</v>
      </c>
      <c r="D23" s="12"/>
    </row>
    <row r="24" customFormat="false" ht="15" hidden="false" customHeight="false" outlineLevel="0" collapsed="false">
      <c r="A24" s="9" t="s">
        <v>49</v>
      </c>
      <c r="B24" s="10" t="s">
        <v>59</v>
      </c>
      <c r="C24" s="11" t="n">
        <v>650</v>
      </c>
      <c r="D24" s="12"/>
    </row>
    <row r="25" customFormat="false" ht="15" hidden="false" customHeight="false" outlineLevel="0" collapsed="false">
      <c r="A25" s="9" t="s">
        <v>50</v>
      </c>
      <c r="B25" s="10" t="s">
        <v>59</v>
      </c>
      <c r="C25" s="11" t="n">
        <v>590</v>
      </c>
      <c r="D25" s="12"/>
    </row>
    <row r="26" customFormat="false" ht="15" hidden="false" customHeight="false" outlineLevel="0" collapsed="false">
      <c r="A26" s="9" t="s">
        <v>51</v>
      </c>
      <c r="B26" s="10" t="s">
        <v>59</v>
      </c>
      <c r="C26" s="11" t="n">
        <v>200</v>
      </c>
      <c r="D26" s="12"/>
    </row>
    <row r="27" customFormat="false" ht="15" hidden="false" customHeight="false" outlineLevel="0" collapsed="false">
      <c r="A27" s="9" t="s">
        <v>52</v>
      </c>
      <c r="B27" s="10" t="s">
        <v>62</v>
      </c>
      <c r="C27" s="11" t="n">
        <v>16000</v>
      </c>
      <c r="D27" s="12" t="s">
        <v>63</v>
      </c>
    </row>
    <row r="28" customFormat="false" ht="15" hidden="false" customHeight="false" outlineLevel="0" collapsed="false">
      <c r="A28" s="9" t="s">
        <v>53</v>
      </c>
      <c r="B28" s="10" t="s">
        <v>64</v>
      </c>
      <c r="C28" s="11" t="n">
        <v>2000</v>
      </c>
      <c r="D28" s="1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4" t="s">
        <v>66</v>
      </c>
      <c r="B1" s="4" t="s">
        <v>67</v>
      </c>
      <c r="C1" s="4" t="s">
        <v>68</v>
      </c>
    </row>
    <row r="2" customFormat="false" ht="15" hidden="false" customHeight="false" outlineLevel="0" collapsed="false">
      <c r="A2" s="9" t="s">
        <v>3</v>
      </c>
      <c r="B2" s="10" t="n">
        <f aca="false">COUNTIF(Заказы!$B$3:$B$29,"&gt;0")</f>
        <v>4</v>
      </c>
      <c r="C2" s="13" t="n">
        <f aca="false">SUMPRODUCT(Заказы!$B$3:$B$29,Каталог!$C$2:$C$28)</f>
        <v>12530</v>
      </c>
    </row>
    <row r="3" customFormat="false" ht="15" hidden="false" customHeight="false" outlineLevel="0" collapsed="false">
      <c r="A3" s="9" t="s">
        <v>4</v>
      </c>
      <c r="B3" s="10" t="n">
        <f aca="false">COUNTIF(Заказы!$C$3:$C$29,"&gt;0")</f>
        <v>1</v>
      </c>
      <c r="C3" s="13" t="n">
        <f aca="false">SUMPRODUCT(Заказы!$C$3:$C$29,Каталог!$C$2:$C$28)</f>
        <v>2070</v>
      </c>
    </row>
    <row r="4" customFormat="false" ht="15" hidden="false" customHeight="false" outlineLevel="0" collapsed="false">
      <c r="A4" s="9" t="s">
        <v>5</v>
      </c>
      <c r="B4" s="10" t="n">
        <f aca="false">COUNTIF(Заказы!$D$3:$D$29,"&gt;0")</f>
        <v>1</v>
      </c>
      <c r="C4" s="13" t="n">
        <f aca="false">SUMPRODUCT(Заказы!$D$3:$D$29,Каталог!$C$2:$C$28)</f>
        <v>1780</v>
      </c>
    </row>
    <row r="5" customFormat="false" ht="15" hidden="false" customHeight="false" outlineLevel="0" collapsed="false">
      <c r="A5" s="9" t="s">
        <v>6</v>
      </c>
      <c r="B5" s="10" t="n">
        <f aca="false">COUNTIF(Заказы!$E$3:$E$29,"&gt;0")</f>
        <v>1</v>
      </c>
      <c r="C5" s="13" t="n">
        <f aca="false">SUMPRODUCT(Заказы!$E$3:$E$29,Каталог!$C$2:$C$28)</f>
        <v>890</v>
      </c>
    </row>
    <row r="6" customFormat="false" ht="15" hidden="false" customHeight="false" outlineLevel="0" collapsed="false">
      <c r="A6" s="9" t="s">
        <v>7</v>
      </c>
      <c r="B6" s="10" t="n">
        <f aca="false">COUNTIF(Заказы!$F$3:$F$29,"&gt;0")</f>
        <v>2</v>
      </c>
      <c r="C6" s="13" t="n">
        <f aca="false">SUMPRODUCT(Заказы!$F$3:$F$29,Каталог!$C$2:$C$28)</f>
        <v>9480</v>
      </c>
    </row>
    <row r="7" customFormat="false" ht="15" hidden="false" customHeight="false" outlineLevel="0" collapsed="false">
      <c r="A7" s="9" t="s">
        <v>8</v>
      </c>
      <c r="B7" s="10" t="n">
        <f aca="false">COUNTIF(Заказы!$G$3:$G$29,"&gt;0")</f>
        <v>2</v>
      </c>
      <c r="C7" s="13" t="n">
        <f aca="false">SUMPRODUCT(Заказы!$G$3:$G$29,Каталог!$C$2:$C$28)</f>
        <v>7210</v>
      </c>
    </row>
    <row r="8" customFormat="false" ht="15" hidden="false" customHeight="false" outlineLevel="0" collapsed="false">
      <c r="A8" s="9" t="s">
        <v>9</v>
      </c>
      <c r="B8" s="10" t="n">
        <f aca="false">COUNTIF(Заказы!$H$3:$H$29,"&gt;0")</f>
        <v>0</v>
      </c>
      <c r="C8" s="13" t="n">
        <f aca="false">SUMPRODUCT(Заказы!$H$3:$H$29,Каталог!$C$2:$C$28)</f>
        <v>0</v>
      </c>
    </row>
    <row r="9" customFormat="false" ht="15" hidden="false" customHeight="false" outlineLevel="0" collapsed="false">
      <c r="A9" s="9" t="s">
        <v>10</v>
      </c>
      <c r="B9" s="10" t="n">
        <f aca="false">COUNTIF(Заказы!$I$3:$I$29,"&gt;0")</f>
        <v>0</v>
      </c>
      <c r="C9" s="13" t="n">
        <f aca="false">SUMPRODUCT(Заказы!$I$3:$I$29,Каталог!$C$2:$C$28)</f>
        <v>0</v>
      </c>
    </row>
    <row r="10" customFormat="false" ht="15" hidden="false" customHeight="false" outlineLevel="0" collapsed="false">
      <c r="A10" s="9" t="s">
        <v>11</v>
      </c>
      <c r="B10" s="10" t="n">
        <f aca="false">COUNTIF(Заказы!$J$3:$J$29,"&gt;0")</f>
        <v>1</v>
      </c>
      <c r="C10" s="13" t="n">
        <f aca="false">SUMPRODUCT(Заказы!$J$3:$J$29,Каталог!$C$2:$C$28)</f>
        <v>1380</v>
      </c>
    </row>
    <row r="11" customFormat="false" ht="15" hidden="false" customHeight="false" outlineLevel="0" collapsed="false">
      <c r="A11" s="9" t="s">
        <v>12</v>
      </c>
      <c r="B11" s="10" t="n">
        <f aca="false">COUNTIF(Заказы!$K$3:$K$29,"&gt;0")</f>
        <v>0</v>
      </c>
      <c r="C11" s="13" t="n">
        <f aca="false">SUMPRODUCT(Заказы!$K$3:$K$29,Каталог!$C$2:$C$28)</f>
        <v>0</v>
      </c>
    </row>
    <row r="12" customFormat="false" ht="15" hidden="false" customHeight="false" outlineLevel="0" collapsed="false">
      <c r="A12" s="9" t="s">
        <v>13</v>
      </c>
      <c r="B12" s="10" t="n">
        <f aca="false">COUNTIF(Заказы!$L$3:$L$29,"&gt;0")</f>
        <v>0</v>
      </c>
      <c r="C12" s="13" t="n">
        <f aca="false">SUMPRODUCT(Заказы!$L$3:$L$29,Каталог!$C$2:$C$28)</f>
        <v>0</v>
      </c>
    </row>
    <row r="13" customFormat="false" ht="15" hidden="false" customHeight="false" outlineLevel="0" collapsed="false">
      <c r="A13" s="9" t="s">
        <v>14</v>
      </c>
      <c r="B13" s="10" t="n">
        <f aca="false">COUNTIF(Заказы!$M$3:$M$29,"&gt;0")</f>
        <v>0</v>
      </c>
      <c r="C13" s="13" t="n">
        <f aca="false">SUMPRODUCT(Заказы!$M$3:$M$29,Каталог!$C$2:$C$28)</f>
        <v>0</v>
      </c>
    </row>
    <row r="14" customFormat="false" ht="15" hidden="false" customHeight="false" outlineLevel="0" collapsed="false">
      <c r="A14" s="9" t="s">
        <v>15</v>
      </c>
      <c r="B14" s="10" t="n">
        <f aca="false">COUNTIF(Заказы!$N$3:$N$29,"&gt;0")</f>
        <v>0</v>
      </c>
      <c r="C14" s="13" t="n">
        <f aca="false">SUMPRODUCT(Заказы!$N$3:$N$29,Каталог!$C$2:$C$28)</f>
        <v>0</v>
      </c>
    </row>
    <row r="15" customFormat="false" ht="15" hidden="false" customHeight="false" outlineLevel="0" collapsed="false">
      <c r="A15" s="9" t="s">
        <v>16</v>
      </c>
      <c r="B15" s="10" t="n">
        <f aca="false">COUNTIF(Заказы!$O$3:$O$29,"&gt;0")</f>
        <v>0</v>
      </c>
      <c r="C15" s="13" t="n">
        <f aca="false">SUMPRODUCT(Заказы!$O$3:$O$29,Каталог!$C$2:$C$28)</f>
        <v>0</v>
      </c>
    </row>
    <row r="16" customFormat="false" ht="15" hidden="false" customHeight="false" outlineLevel="0" collapsed="false">
      <c r="A16" s="9" t="s">
        <v>17</v>
      </c>
      <c r="B16" s="10" t="n">
        <f aca="false">COUNTIF(Заказы!$P$3:$P$29,"&gt;0")</f>
        <v>0</v>
      </c>
      <c r="C16" s="13" t="n">
        <f aca="false">SUMPRODUCT(Заказы!$P$3:$P$29,Каталог!$C$2:$C$28)</f>
        <v>0</v>
      </c>
    </row>
    <row r="17" customFormat="false" ht="15" hidden="false" customHeight="false" outlineLevel="0" collapsed="false">
      <c r="A17" s="9" t="s">
        <v>18</v>
      </c>
      <c r="B17" s="10" t="n">
        <f aca="false">COUNTIF(Заказы!$Q$3:$Q$29,"&gt;0")</f>
        <v>0</v>
      </c>
      <c r="C17" s="13" t="n">
        <f aca="false">SUMPRODUCT(Заказы!$Q$3:$Q$29,Каталог!$C$2:$C$28)</f>
        <v>0</v>
      </c>
    </row>
    <row r="18" customFormat="false" ht="15" hidden="false" customHeight="false" outlineLevel="0" collapsed="false">
      <c r="A18" s="9" t="s">
        <v>19</v>
      </c>
      <c r="B18" s="10" t="n">
        <f aca="false">COUNTIF(Заказы!$R$3:$R$29,"&gt;0")</f>
        <v>0</v>
      </c>
      <c r="C18" s="13" t="n">
        <f aca="false">SUMPRODUCT(Заказы!$R$3:$R$29,Каталог!$C$2:$C$28)</f>
        <v>0</v>
      </c>
    </row>
    <row r="19" customFormat="false" ht="15" hidden="false" customHeight="false" outlineLevel="0" collapsed="false">
      <c r="A19" s="9" t="s">
        <v>20</v>
      </c>
      <c r="B19" s="10" t="n">
        <f aca="false">COUNTIF(Заказы!$S$3:$S$29,"&gt;0")</f>
        <v>0</v>
      </c>
      <c r="C19" s="13" t="n">
        <f aca="false">SUMPRODUCT(Заказы!$S$3:$S$29,Каталог!$C$2:$C$28)</f>
        <v>0</v>
      </c>
    </row>
    <row r="20" customFormat="false" ht="15" hidden="false" customHeight="false" outlineLevel="0" collapsed="false">
      <c r="A20" s="9" t="s">
        <v>21</v>
      </c>
      <c r="B20" s="10" t="n">
        <f aca="false">COUNTIF(Заказы!$T$3:$T$29,"&gt;0")</f>
        <v>0</v>
      </c>
      <c r="C20" s="13" t="n">
        <f aca="false">SUMPRODUCT(Заказы!$T$3:$T$29,Каталог!$C$2:$C$28)</f>
        <v>0</v>
      </c>
    </row>
    <row r="21" customFormat="false" ht="15" hidden="false" customHeight="false" outlineLevel="0" collapsed="false">
      <c r="A21" s="9" t="s">
        <v>22</v>
      </c>
      <c r="B21" s="10" t="n">
        <f aca="false">COUNTIF(Заказы!$U$3:$U$29,"&gt;0")</f>
        <v>0</v>
      </c>
      <c r="C21" s="13" t="n">
        <f aca="false">SUMPRODUCT(Заказы!$U$3:$U$29,Каталог!$C$2:$C$28)</f>
        <v>0</v>
      </c>
    </row>
    <row r="22" customFormat="false" ht="15" hidden="false" customHeight="false" outlineLevel="0" collapsed="false">
      <c r="A22" s="9" t="s">
        <v>23</v>
      </c>
      <c r="B22" s="10" t="n">
        <f aca="false">COUNTIF(Заказы!$V$3:$V$29,"&gt;0")</f>
        <v>0</v>
      </c>
      <c r="C22" s="13" t="n">
        <f aca="false">SUMPRODUCT(Заказы!$V$3:$V$29,Каталог!$C$2:$C$28)</f>
        <v>0</v>
      </c>
    </row>
    <row r="23" customFormat="false" ht="15" hidden="false" customHeight="false" outlineLevel="0" collapsed="false">
      <c r="A23" s="9" t="s">
        <v>24</v>
      </c>
      <c r="B23" s="10" t="n">
        <f aca="false">COUNTIF(Заказы!$W$3:$W$29,"&gt;0")</f>
        <v>0</v>
      </c>
      <c r="C23" s="13" t="n">
        <f aca="false">SUMPRODUCT(Заказы!$W$3:$W$29,Каталог!$C$2:$C$28)</f>
        <v>0</v>
      </c>
    </row>
    <row r="24" customFormat="false" ht="15" hidden="false" customHeight="false" outlineLevel="0" collapsed="false">
      <c r="A24" s="9" t="s">
        <v>25</v>
      </c>
      <c r="B24" s="10" t="n">
        <f aca="false">COUNTIF(Заказы!$X$3:$X$29,"&gt;0")</f>
        <v>0</v>
      </c>
      <c r="C24" s="13" t="n">
        <f aca="false">SUMPRODUCT(Заказы!$X$3:$X$29,Каталог!$C$2:$C$28)</f>
        <v>0</v>
      </c>
    </row>
    <row r="25" customFormat="false" ht="15" hidden="false" customHeight="false" outlineLevel="0" collapsed="false">
      <c r="A25" s="9" t="s">
        <v>26</v>
      </c>
      <c r="B25" s="10" t="n">
        <f aca="false">COUNTIF(Заказы!$Y$3:$Y$29,"&gt;0")</f>
        <v>0</v>
      </c>
      <c r="C25" s="13" t="n">
        <f aca="false">SUMPRODUCT(Заказы!$Y$3:$Y$29,Каталог!$C$2:$C$28)</f>
        <v>0</v>
      </c>
    </row>
    <row r="26" customFormat="false" ht="15" hidden="false" customHeight="false" outlineLevel="0" collapsed="false">
      <c r="A26" s="14" t="s">
        <v>69</v>
      </c>
      <c r="B26" s="15" t="n">
        <f aca="false">SUM(B2:B25)</f>
        <v>12</v>
      </c>
      <c r="C26" s="16" t="n">
        <f aca="false">SUM(C2:C25)</f>
        <v>35340</v>
      </c>
    </row>
    <row r="29" customFormat="false" ht="15" hidden="false" customHeight="false" outlineLevel="0" collapsed="false">
      <c r="A29" s="4" t="s">
        <v>70</v>
      </c>
      <c r="B29" s="4" t="s">
        <v>71</v>
      </c>
      <c r="C29" s="4" t="s">
        <v>72</v>
      </c>
    </row>
    <row r="30" customFormat="false" ht="15" hidden="false" customHeight="false" outlineLevel="0" collapsed="false">
      <c r="A30" s="9" t="str">
        <f aca="false">Заказы!$A$3</f>
        <v>Вупи пай</v>
      </c>
      <c r="B30" s="10" t="n">
        <f aca="false">SUM(Заказы!$B$3:$Y$3)</f>
        <v>21</v>
      </c>
      <c r="C30" s="13" t="n">
        <f aca="false">B30*Каталог!$C$2</f>
        <v>14490</v>
      </c>
    </row>
    <row r="31" customFormat="false" ht="15" hidden="false" customHeight="false" outlineLevel="0" collapsed="false">
      <c r="A31" s="9" t="str">
        <f aca="false">Заказы!$A$4</f>
        <v>Фисташковый рулет</v>
      </c>
      <c r="B31" s="10" t="n">
        <f aca="false">SUM(Заказы!$B$4:$Y$4)</f>
        <v>19</v>
      </c>
      <c r="C31" s="13" t="n">
        <f aca="false">B31*Каталог!$C$3</f>
        <v>16910</v>
      </c>
    </row>
    <row r="32" customFormat="false" ht="15" hidden="false" customHeight="false" outlineLevel="0" collapsed="false">
      <c r="A32" s="9" t="str">
        <f aca="false">Заказы!$A$5</f>
        <v>Молочная девочка</v>
      </c>
      <c r="B32" s="10" t="n">
        <f aca="false">SUM(Заказы!$B$5:$Y$5)</f>
        <v>0</v>
      </c>
      <c r="C32" s="13" t="n">
        <f aca="false">B32*Каталог!$C$4</f>
        <v>0</v>
      </c>
    </row>
    <row r="33" customFormat="false" ht="15" hidden="false" customHeight="false" outlineLevel="0" collapsed="false">
      <c r="A33" s="9" t="str">
        <f aca="false">Заказы!$A$6</f>
        <v>Медовик</v>
      </c>
      <c r="B33" s="10" t="n">
        <f aca="false">SUM(Заказы!$B$6:$Y$6)</f>
        <v>6</v>
      </c>
      <c r="C33" s="13" t="n">
        <f aca="false">B33*Каталог!$C$5</f>
        <v>3540</v>
      </c>
    </row>
    <row r="34" customFormat="false" ht="15" hidden="false" customHeight="false" outlineLevel="0" collapsed="false">
      <c r="A34" s="9" t="str">
        <f aca="false">Заказы!$A$7</f>
        <v>Испанский чизкейк</v>
      </c>
      <c r="B34" s="10" t="n">
        <f aca="false">SUM(Заказы!$B$7:$Y$7)</f>
        <v>0</v>
      </c>
      <c r="C34" s="13" t="n">
        <f aca="false">B34*Каталог!$C$6</f>
        <v>0</v>
      </c>
    </row>
    <row r="35" customFormat="false" ht="15" hidden="false" customHeight="false" outlineLevel="0" collapsed="false">
      <c r="A35" s="9" t="str">
        <f aca="false">Заказы!$A$8</f>
        <v>Казакша чизкейк</v>
      </c>
      <c r="B35" s="10" t="n">
        <f aca="false">SUM(Заказы!$B$8:$Y$8)</f>
        <v>0</v>
      </c>
      <c r="C35" s="13" t="n">
        <f aca="false">B35*Каталог!$C$7</f>
        <v>0</v>
      </c>
    </row>
    <row r="36" customFormat="false" ht="15" hidden="false" customHeight="false" outlineLevel="0" collapsed="false">
      <c r="A36" s="9" t="str">
        <f aca="false">Заказы!$A$9</f>
        <v>Картошка</v>
      </c>
      <c r="B36" s="10" t="n">
        <f aca="false">SUM(Заказы!$B$9:$Y$9)</f>
        <v>0</v>
      </c>
      <c r="C36" s="13" t="n">
        <f aca="false">B36*Каталог!$C$8</f>
        <v>0</v>
      </c>
    </row>
    <row r="37" customFormat="false" ht="15" hidden="false" customHeight="false" outlineLevel="0" collapsed="false">
      <c r="A37" s="9" t="str">
        <f aca="false">Заказы!$A$10</f>
        <v>Шоколадный брауни</v>
      </c>
      <c r="B37" s="10" t="n">
        <f aca="false">SUM(Заказы!$B$10:$Y$10)</f>
        <v>0</v>
      </c>
      <c r="C37" s="13" t="n">
        <f aca="false">B37*Каталог!$C$9</f>
        <v>0</v>
      </c>
    </row>
    <row r="38" customFormat="false" ht="15" hidden="false" customHeight="false" outlineLevel="0" collapsed="false">
      <c r="A38" s="9" t="str">
        <f aca="false">Заказы!$A$11</f>
        <v>Мини брауни</v>
      </c>
      <c r="B38" s="10" t="n">
        <f aca="false">SUM(Заказы!$B$11:$Y$11)</f>
        <v>0</v>
      </c>
      <c r="C38" s="13" t="n">
        <f aca="false">B38*Каталог!$C$10</f>
        <v>0</v>
      </c>
    </row>
    <row r="39" customFormat="false" ht="15" hidden="false" customHeight="false" outlineLevel="0" collapsed="false">
      <c r="A39" s="9" t="str">
        <f aca="false">Заказы!$A$12</f>
        <v>Кукис Фисташка</v>
      </c>
      <c r="B39" s="10" t="n">
        <f aca="false">SUM(Заказы!$B$12:$Y$12)</f>
        <v>0</v>
      </c>
      <c r="C39" s="13" t="n">
        <f aca="false">B39*Каталог!$C$11</f>
        <v>0</v>
      </c>
    </row>
    <row r="40" customFormat="false" ht="15" hidden="false" customHeight="false" outlineLevel="0" collapsed="false">
      <c r="A40" s="9" t="str">
        <f aca="false">Заказы!$A$13</f>
        <v>Кукис Брауни</v>
      </c>
      <c r="B40" s="10" t="n">
        <f aca="false">SUM(Заказы!$B$13:$Y$13)</f>
        <v>0</v>
      </c>
      <c r="C40" s="13" t="n">
        <f aca="false">B40*Каталог!$C$12</f>
        <v>0</v>
      </c>
    </row>
    <row r="41" customFormat="false" ht="15" hidden="false" customHeight="false" outlineLevel="0" collapsed="false">
      <c r="A41" s="9" t="str">
        <f aca="false">Заказы!$A$14</f>
        <v>Кукис Красный Бархат</v>
      </c>
      <c r="B41" s="10" t="n">
        <f aca="false">SUM(Заказы!$B$14:$Y$14)</f>
        <v>0</v>
      </c>
      <c r="C41" s="13" t="n">
        <f aca="false">B41*Каталог!$C$13</f>
        <v>0</v>
      </c>
    </row>
    <row r="42" customFormat="false" ht="15" hidden="false" customHeight="false" outlineLevel="0" collapsed="false">
      <c r="A42" s="9" t="str">
        <f aca="false">Заказы!$A$15</f>
        <v>Кукис Классика</v>
      </c>
      <c r="B42" s="10" t="n">
        <f aca="false">SUM(Заказы!$B$15:$Y$15)</f>
        <v>0</v>
      </c>
      <c r="C42" s="13" t="n">
        <f aca="false">B42*Каталог!$C$14</f>
        <v>0</v>
      </c>
    </row>
    <row r="43" customFormat="false" ht="15" hidden="false" customHeight="false" outlineLevel="0" collapsed="false">
      <c r="A43" s="9" t="str">
        <f aca="false">Заказы!$A$16</f>
        <v>Брауни комплимент</v>
      </c>
      <c r="B43" s="10" t="n">
        <f aca="false">SUM(Заказы!$B$16:$Y$16)</f>
        <v>0</v>
      </c>
      <c r="C43" s="13" t="n">
        <f aca="false">B43*Каталог!$C$15</f>
        <v>0</v>
      </c>
    </row>
    <row r="44" customFormat="false" ht="15" hidden="false" customHeight="false" outlineLevel="0" collapsed="false">
      <c r="A44" s="9" t="str">
        <f aca="false">Заказы!$A$17</f>
        <v>Тарт Клубника</v>
      </c>
      <c r="B44" s="10" t="n">
        <f aca="false">SUM(Заказы!$B$17:$Y$17)</f>
        <v>1</v>
      </c>
      <c r="C44" s="13" t="n">
        <f aca="false">B44*Каталог!$C$16</f>
        <v>400</v>
      </c>
    </row>
    <row r="45" customFormat="false" ht="15" hidden="false" customHeight="false" outlineLevel="0" collapsed="false">
      <c r="A45" s="9" t="str">
        <f aca="false">Заказы!$A$18</f>
        <v>Тарт Малина</v>
      </c>
      <c r="B45" s="10" t="n">
        <f aca="false">SUM(Заказы!$B$18:$Y$18)</f>
        <v>0</v>
      </c>
      <c r="C45" s="13" t="n">
        <f aca="false">B45*Каталог!$C$17</f>
        <v>0</v>
      </c>
    </row>
    <row r="46" customFormat="false" ht="15" hidden="false" customHeight="false" outlineLevel="0" collapsed="false">
      <c r="A46" s="9" t="str">
        <f aca="false">Заказы!$A$19</f>
        <v>Тарт Баноффи</v>
      </c>
      <c r="B46" s="10" t="n">
        <f aca="false">SUM(Заказы!$B$19:$Y$19)</f>
        <v>0</v>
      </c>
      <c r="C46" s="13" t="n">
        <f aca="false">B46*Каталог!$C$18</f>
        <v>0</v>
      </c>
    </row>
    <row r="47" customFormat="false" ht="15" hidden="false" customHeight="false" outlineLevel="0" collapsed="false">
      <c r="A47" s="9" t="str">
        <f aca="false">Заказы!$A$20</f>
        <v>Круассан классика</v>
      </c>
      <c r="B47" s="10" t="n">
        <f aca="false">SUM(Заказы!$B$20:$Y$20)</f>
        <v>0</v>
      </c>
      <c r="C47" s="13" t="n">
        <f aca="false">B47*Каталог!$C$19</f>
        <v>0</v>
      </c>
    </row>
    <row r="48" customFormat="false" ht="15" hidden="false" customHeight="false" outlineLevel="0" collapsed="false">
      <c r="A48" s="9" t="str">
        <f aca="false">Заказы!$A$21</f>
        <v>Круассан миндальный</v>
      </c>
      <c r="B48" s="10" t="n">
        <f aca="false">SUM(Заказы!$B$21:$Y$21)</f>
        <v>0</v>
      </c>
      <c r="C48" s="13" t="n">
        <f aca="false">B48*Каталог!$C$20</f>
        <v>0</v>
      </c>
    </row>
    <row r="49" customFormat="false" ht="15" hidden="false" customHeight="false" outlineLevel="0" collapsed="false">
      <c r="A49" s="9" t="str">
        <f aca="false">Заказы!$A$22</f>
        <v>Круассан Фисташка</v>
      </c>
      <c r="B49" s="10" t="n">
        <f aca="false">SUM(Заказы!$B$22:$Y$22)</f>
        <v>0</v>
      </c>
      <c r="C49" s="13" t="n">
        <f aca="false">B49*Каталог!$C$21</f>
        <v>0</v>
      </c>
    </row>
    <row r="50" customFormat="false" ht="15" hidden="false" customHeight="false" outlineLevel="0" collapsed="false">
      <c r="A50" s="9" t="str">
        <f aca="false">Заказы!$A$23</f>
        <v>Круассан с сыром</v>
      </c>
      <c r="B50" s="10" t="n">
        <f aca="false">SUM(Заказы!$B$23:$Y$23)</f>
        <v>0</v>
      </c>
      <c r="C50" s="13" t="n">
        <f aca="false">B50*Каталог!$C$22</f>
        <v>0</v>
      </c>
    </row>
    <row r="51" customFormat="false" ht="15" hidden="false" customHeight="false" outlineLevel="0" collapsed="false">
      <c r="A51" s="9" t="str">
        <f aca="false">Заказы!$A$24</f>
        <v>Круассан со сгущенкой</v>
      </c>
      <c r="B51" s="10" t="n">
        <f aca="false">SUM(Заказы!$B$24:$Y$24)</f>
        <v>0</v>
      </c>
      <c r="C51" s="13" t="n">
        <f aca="false">B51*Каталог!$C$23</f>
        <v>0</v>
      </c>
    </row>
    <row r="52" customFormat="false" ht="15" hidden="false" customHeight="false" outlineLevel="0" collapsed="false">
      <c r="A52" s="9" t="str">
        <f aca="false">Заказы!$A$25</f>
        <v>Круассан с шоколадом</v>
      </c>
      <c r="B52" s="10" t="n">
        <f aca="false">SUM(Заказы!$B$25:$Y$25)</f>
        <v>0</v>
      </c>
      <c r="C52" s="13" t="n">
        <f aca="false">B52*Каталог!$C$24</f>
        <v>0</v>
      </c>
    </row>
    <row r="53" customFormat="false" ht="15" hidden="false" customHeight="false" outlineLevel="0" collapsed="false">
      <c r="A53" s="9" t="str">
        <f aca="false">Заказы!$A$26</f>
        <v>Круассан для сэндвичей</v>
      </c>
      <c r="B53" s="10" t="n">
        <f aca="false">SUM(Заказы!$B$26:$Y$26)</f>
        <v>0</v>
      </c>
      <c r="C53" s="13" t="n">
        <f aca="false">B53*Каталог!$C$25</f>
        <v>0</v>
      </c>
    </row>
    <row r="54" customFormat="false" ht="15" hidden="false" customHeight="false" outlineLevel="0" collapsed="false">
      <c r="A54" s="9" t="str">
        <f aca="false">Заказы!$A$27</f>
        <v>Мак булочка</v>
      </c>
      <c r="B54" s="10" t="n">
        <f aca="false">SUM(Заказы!$B$27:$Y$27)</f>
        <v>0</v>
      </c>
      <c r="C54" s="13" t="n">
        <f aca="false">B54*Каталог!$C$26</f>
        <v>0</v>
      </c>
    </row>
    <row r="55" customFormat="false" ht="15" hidden="false" customHeight="false" outlineLevel="0" collapsed="false">
      <c r="A55" s="9" t="str">
        <f aca="false">Заказы!$A$28</f>
        <v>Сырники</v>
      </c>
      <c r="B55" s="10" t="n">
        <f aca="false">SUM(Заказы!$B$28:$Y$28)</f>
        <v>0</v>
      </c>
      <c r="C55" s="13" t="n">
        <f aca="false">B55*Каталог!$C$27</f>
        <v>0</v>
      </c>
    </row>
    <row r="56" customFormat="false" ht="15" hidden="false" customHeight="false" outlineLevel="0" collapsed="false">
      <c r="A56" s="9" t="str">
        <f aca="false">Заказы!$A$29</f>
        <v>Гранола</v>
      </c>
      <c r="B56" s="10" t="n">
        <f aca="false">SUM(Заказы!$B$29:$Y$29)</f>
        <v>0</v>
      </c>
      <c r="C56" s="13" t="n">
        <f aca="false">B56*Каталог!$C$28</f>
        <v>0</v>
      </c>
    </row>
    <row r="57" customFormat="false" ht="15" hidden="false" customHeight="false" outlineLevel="0" collapsed="false">
      <c r="A57" s="14" t="s">
        <v>69</v>
      </c>
      <c r="B57" s="15" t="n">
        <f aca="false">SUM(B30:B56)</f>
        <v>47</v>
      </c>
      <c r="C57" s="16" t="n">
        <f aca="false">SUM(C30:C56)</f>
        <v>35340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M4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4"/>
    <col collapsed="false" customWidth="true" hidden="false" outlineLevel="0" max="9" min="9" style="0" width="24"/>
    <col collapsed="false" customWidth="true" hidden="false" outlineLevel="0" max="11" min="10" style="0" width="7"/>
    <col collapsed="false" customWidth="true" hidden="false" outlineLevel="0" max="12" min="12" style="0" width="9"/>
    <col collapsed="false" customWidth="true" hidden="false" outlineLevel="0" max="13" min="13" style="0" width="11"/>
  </cols>
  <sheetData>
    <row r="2" customFormat="false" ht="17.35" hidden="false" customHeight="false" outlineLevel="0" collapsed="false">
      <c r="A2" s="17" t="str">
        <f aca="false">IF(COUNTIF(Заказы!$B$3:$B$29,"&gt;0")=0,"","НАКЛАДНАЯ")</f>
        <v>НАКЛАДНАЯ</v>
      </c>
      <c r="B2" s="17"/>
      <c r="C2" s="17"/>
      <c r="D2" s="17"/>
      <c r="E2" s="17"/>
      <c r="F2" s="17"/>
      <c r="H2" s="17" t="str">
        <f aca="false">IF(COUNTIF(Заказы!$C$3:$C$29,"&gt;0")=0,"","НАКЛАДНАЯ")</f>
        <v>НАКЛАДНАЯ</v>
      </c>
      <c r="I2" s="17"/>
      <c r="J2" s="17"/>
      <c r="K2" s="17"/>
      <c r="L2" s="17"/>
      <c r="M2" s="17"/>
    </row>
    <row r="3" customFormat="false" ht="15" hidden="false" customHeight="false" outlineLevel="0" collapsed="false">
      <c r="A3" s="18" t="str">
        <f aca="false">IF(COUNTIF(Заказы!$B$3:$B$29,"&gt;0")=0,"","Отправитель: Brown кондитерский цех")</f>
        <v>Отправитель: Brown кондитерский цех</v>
      </c>
      <c r="B3" s="18"/>
      <c r="C3" s="18"/>
      <c r="D3" s="18"/>
      <c r="E3" s="18"/>
      <c r="F3" s="18"/>
      <c r="H3" s="18" t="str">
        <f aca="false">IF(COUNTIF(Заказы!$C$3:$C$29,"&gt;0")=0,"","Отправитель: Brown кондитерский цех")</f>
        <v>Отправитель: Brown кондитерский цех</v>
      </c>
      <c r="I3" s="18"/>
      <c r="J3" s="18"/>
      <c r="K3" s="18"/>
      <c r="L3" s="18"/>
      <c r="M3" s="18"/>
    </row>
    <row r="4" customFormat="false" ht="15" hidden="false" customHeight="false" outlineLevel="0" collapsed="false">
      <c r="A4" s="18" t="str">
        <f aca="false">IF(COUNTIF(Заказы!$B$3:$B$29,"&gt;0")=0,"","Получатель: "&amp;Заказы!B$2)</f>
        <v>Получатель: Арена Урбо</v>
      </c>
      <c r="B4" s="18"/>
      <c r="C4" s="18"/>
      <c r="D4" s="18"/>
      <c r="E4" s="18"/>
      <c r="F4" s="18"/>
      <c r="H4" s="18" t="str">
        <f aca="false">IF(COUNTIF(Заказы!$C$3:$C$29,"&gt;0")=0,"","Получатель: "&amp;Заказы!C$2)</f>
        <v>Получатель: Карсити</v>
      </c>
      <c r="I4" s="18"/>
      <c r="J4" s="18"/>
      <c r="K4" s="18"/>
      <c r="L4" s="18"/>
      <c r="M4" s="18"/>
    </row>
    <row r="5" customFormat="false" ht="15" hidden="false" customHeight="false" outlineLevel="0" collapsed="false">
      <c r="A5" s="19" t="str">
        <f aca="false">IF(COUNTIF(Заказы!$B$3:$B$29,"&gt;0")=0,"","Накладная от: "&amp;TEXT(Заказы!$B$1,"dd.mm.yyyy"))</f>
        <v>Накладная от: 22.09.2026</v>
      </c>
      <c r="B5" s="19"/>
      <c r="C5" s="19"/>
      <c r="D5" s="19"/>
      <c r="E5" s="19"/>
      <c r="F5" s="19"/>
      <c r="H5" s="19" t="str">
        <f aca="false">IF(COUNTIF(Заказы!$C$3:$C$29,"&gt;0")=0,"","Накладная от: "&amp;TEXT(Заказы!$B$1,"dd.mm.yyyy"))</f>
        <v>Накладная от: 22.09.2026</v>
      </c>
      <c r="I5" s="19"/>
      <c r="J5" s="19"/>
      <c r="K5" s="19"/>
      <c r="L5" s="19"/>
      <c r="M5" s="19"/>
    </row>
    <row r="7" customFormat="false" ht="15" hidden="false" customHeight="false" outlineLevel="0" collapsed="false">
      <c r="A7" s="4" t="str">
        <f aca="false">IF(COUNTIF(Заказы!$B$3:$B$29,"&gt;0")=0,"","№")</f>
        <v>№</v>
      </c>
      <c r="B7" s="4" t="str">
        <f aca="false">IF(COUNTIF(Заказы!$B$3:$B$29,"&gt;0")=0,"","Наименование")</f>
        <v>Наименование</v>
      </c>
      <c r="C7" s="4" t="str">
        <f aca="false">IF(COUNTIF(Заказы!$B$3:$B$29,"&gt;0")=0,"","Кол.")</f>
        <v>Кол.</v>
      </c>
      <c r="D7" s="4" t="str">
        <f aca="false">IF(COUNTIF(Заказы!$B$3:$B$29,"&gt;0")=0,"","Ед.")</f>
        <v>Ед.</v>
      </c>
      <c r="E7" s="4" t="str">
        <f aca="false">IF(COUNTIF(Заказы!$B$3:$B$29,"&gt;0")=0,"","Цена")</f>
        <v>Цена</v>
      </c>
      <c r="F7" s="4" t="str">
        <f aca="false">IF(COUNTIF(Заказы!$B$3:$B$29,"&gt;0")=0,"","Сумма")</f>
        <v>Сумма</v>
      </c>
      <c r="H7" s="4" t="str">
        <f aca="false">IF(COUNTIF(Заказы!$C$3:$C$29,"&gt;0")=0,"","№")</f>
        <v>№</v>
      </c>
      <c r="I7" s="4" t="str">
        <f aca="false">IF(COUNTIF(Заказы!$C$3:$C$29,"&gt;0")=0,"","Наименование")</f>
        <v>Наименование</v>
      </c>
      <c r="J7" s="4" t="str">
        <f aca="false">IF(COUNTIF(Заказы!$C$3:$C$29,"&gt;0")=0,"","Кол.")</f>
        <v>Кол.</v>
      </c>
      <c r="K7" s="4" t="str">
        <f aca="false">IF(COUNTIF(Заказы!$C$3:$C$29,"&gt;0")=0,"","Ед.")</f>
        <v>Ед.</v>
      </c>
      <c r="L7" s="4" t="str">
        <f aca="false">IF(COUNTIF(Заказы!$C$3:$C$29,"&gt;0")=0,"","Цена")</f>
        <v>Цена</v>
      </c>
      <c r="M7" s="4" t="str">
        <f aca="false">IF(COUNTIF(Заказы!$C$3:$C$29,"&gt;0")=0,"","Сумма")</f>
        <v>Сумма</v>
      </c>
    </row>
    <row r="8" customFormat="false" ht="15" hidden="false" customHeight="false" outlineLevel="0" collapsed="false">
      <c r="A8" s="20" t="n">
        <f aca="false">IF(B8="","",1)</f>
        <v>1</v>
      </c>
      <c r="B8" s="21" t="str">
        <f aca="false" t="array" ref="B8:B8">IFERROR(INDEX(Заказы!$A$3:$A$29,SMALL(IF(Заказы!$B$3:$B$29&gt;0,ROW(Заказы!$B$3:$B$29)-ROW(B$3)+1),1)),"")</f>
        <v>Вупи пай</v>
      </c>
      <c r="C8" s="7" t="n">
        <f aca="false">IF(B8="","",INDEX(Заказы!$B$3:$B$29,MATCH(B8,Заказы!$A$3:$A$29,0)))</f>
        <v>6</v>
      </c>
      <c r="D8" s="20" t="str">
        <f aca="false">IF(B8="","",VLOOKUP(B8,Каталог!$A:$C,2,0))</f>
        <v>Шт</v>
      </c>
      <c r="E8" s="22" t="n">
        <f aca="false">IF(B8="","",VLOOKUP(B8,Каталог!$A:$C,3,0))</f>
        <v>690</v>
      </c>
      <c r="F8" s="22" t="n">
        <f aca="false">IF(B8="","",C8*E8)</f>
        <v>4140</v>
      </c>
      <c r="H8" s="20" t="n">
        <f aca="false">IF(I8="","",1)</f>
        <v>1</v>
      </c>
      <c r="I8" s="21" t="str">
        <f aca="false" t="array" ref="I8:I8">IFERROR(INDEX(Заказы!$A$3:$A$29,SMALL(IF(Заказы!$C$3:$C$29&gt;0,ROW(Заказы!$C$3:$C$29)-ROW(C$3)+1),1)),"")</f>
        <v>Вупи пай</v>
      </c>
      <c r="J8" s="7" t="n">
        <f aca="false">IF(I8="","",INDEX(Заказы!$C$3:$C$29,MATCH(I8,Заказы!$A$3:$A$29,0)))</f>
        <v>3</v>
      </c>
      <c r="K8" s="20" t="str">
        <f aca="false">IF(I8="","",VLOOKUP(I8,Каталог!$A:$C,2,0))</f>
        <v>Шт</v>
      </c>
      <c r="L8" s="22" t="n">
        <f aca="false">IF(I8="","",VLOOKUP(I8,Каталог!$A:$C,3,0))</f>
        <v>690</v>
      </c>
      <c r="M8" s="22" t="n">
        <f aca="false">IF(I8="","",J8*L8)</f>
        <v>2070</v>
      </c>
    </row>
    <row r="9" customFormat="false" ht="15" hidden="false" customHeight="false" outlineLevel="0" collapsed="false">
      <c r="A9" s="20" t="n">
        <f aca="false">IF(B9="","",2)</f>
        <v>2</v>
      </c>
      <c r="B9" s="21" t="str">
        <f aca="false" t="array" ref="B9:B9">IFERROR(INDEX(Заказы!$A$3:$A$29,SMALL(IF(Заказы!$B$3:$B$29&gt;0,ROW(Заказы!$B$3:$B$29)-ROW(B$3)+1),2)),"")</f>
        <v>Фисташковый рулет</v>
      </c>
      <c r="C9" s="7" t="n">
        <f aca="false">IF(B9="","",INDEX(Заказы!$B$3:$B$29,MATCH(B9,Заказы!$A$3:$A$29,0)))</f>
        <v>5</v>
      </c>
      <c r="D9" s="20" t="str">
        <f aca="false">IF(B9="","",VLOOKUP(B9,Каталог!$A:$C,2,0))</f>
        <v>Шт</v>
      </c>
      <c r="E9" s="22" t="n">
        <f aca="false">IF(B9="","",VLOOKUP(B9,Каталог!$A:$C,3,0))</f>
        <v>890</v>
      </c>
      <c r="F9" s="22" t="n">
        <f aca="false">IF(B9="","",C9*E9)</f>
        <v>4450</v>
      </c>
      <c r="H9" s="20" t="str">
        <f aca="false">IF(I9="","",2)</f>
        <v/>
      </c>
      <c r="I9" s="21" t="str">
        <f aca="false" t="array" ref="I9:I9">IFERROR(INDEX(Заказы!$A$3:$A$29,SMALL(IF(Заказы!$C$3:$C$29&gt;0,ROW(Заказы!$C$3:$C$29)-ROW(C$3)+1),2)),"")</f>
        <v/>
      </c>
      <c r="J9" s="20" t="str">
        <f aca="false">IF(I9="","",INDEX(Заказы!$C$3:$C$29,MATCH(I9,Заказы!$A$3:$A$29,0)))</f>
        <v/>
      </c>
      <c r="K9" s="20" t="str">
        <f aca="false">IF(I9="","",VLOOKUP(I9,Каталог!$A:$C,2,0))</f>
        <v/>
      </c>
      <c r="L9" s="22" t="str">
        <f aca="false">IF(I9="","",VLOOKUP(I9,Каталог!$A:$C,3,0))</f>
        <v/>
      </c>
      <c r="M9" s="22" t="str">
        <f aca="false">IF(I9="","",J9*L9)</f>
        <v/>
      </c>
    </row>
    <row r="10" customFormat="false" ht="15" hidden="false" customHeight="false" outlineLevel="0" collapsed="false">
      <c r="A10" s="20" t="n">
        <f aca="false">IF(B10="","",3)</f>
        <v>3</v>
      </c>
      <c r="B10" s="21" t="str">
        <f aca="false" t="array" ref="B10:B10">IFERROR(INDEX(Заказы!$A$3:$A$29,SMALL(IF(Заказы!$B$3:$B$29&gt;0,ROW(Заказы!$B$3:$B$29)-ROW(B$3)+1),3)),"")</f>
        <v>Медовик</v>
      </c>
      <c r="C10" s="7" t="n">
        <f aca="false">IF(B10="","",INDEX(Заказы!$B$3:$B$29,MATCH(B10,Заказы!$A$3:$A$29,0)))</f>
        <v>6</v>
      </c>
      <c r="D10" s="20" t="str">
        <f aca="false">IF(B10="","",VLOOKUP(B10,Каталог!$A:$C,2,0))</f>
        <v>Шт</v>
      </c>
      <c r="E10" s="22" t="n">
        <f aca="false">IF(B10="","",VLOOKUP(B10,Каталог!$A:$C,3,0))</f>
        <v>590</v>
      </c>
      <c r="F10" s="22" t="n">
        <f aca="false">IF(B10="","",C10*E10)</f>
        <v>3540</v>
      </c>
      <c r="H10" s="20" t="str">
        <f aca="false">IF(I10="","",3)</f>
        <v/>
      </c>
      <c r="I10" s="21" t="str">
        <f aca="false" t="array" ref="I10:I10">IFERROR(INDEX(Заказы!$A$3:$A$29,SMALL(IF(Заказы!$C$3:$C$29&gt;0,ROW(Заказы!$C$3:$C$29)-ROW(C$3)+1),3)),"")</f>
        <v/>
      </c>
      <c r="J10" s="20" t="str">
        <f aca="false">IF(I10="","",INDEX(Заказы!$C$3:$C$29,MATCH(I10,Заказы!$A$3:$A$29,0)))</f>
        <v/>
      </c>
      <c r="K10" s="20" t="str">
        <f aca="false">IF(I10="","",VLOOKUP(I10,Каталог!$A:$C,2,0))</f>
        <v/>
      </c>
      <c r="L10" s="22" t="str">
        <f aca="false">IF(I10="","",VLOOKUP(I10,Каталог!$A:$C,3,0))</f>
        <v/>
      </c>
      <c r="M10" s="22" t="str">
        <f aca="false">IF(I10="","",J10*L10)</f>
        <v/>
      </c>
    </row>
    <row r="11" customFormat="false" ht="15" hidden="false" customHeight="false" outlineLevel="0" collapsed="false">
      <c r="A11" s="20" t="n">
        <f aca="false">IF(B11="","",4)</f>
        <v>4</v>
      </c>
      <c r="B11" s="21" t="str">
        <f aca="false" t="array" ref="B11:B11">IFERROR(INDEX(Заказы!$A$3:$A$29,SMALL(IF(Заказы!$B$3:$B$29&gt;0,ROW(Заказы!$B$3:$B$29)-ROW(B$3)+1),4)),"")</f>
        <v>Тарт Клубника</v>
      </c>
      <c r="C11" s="7" t="n">
        <f aca="false">IF(B11="","",INDEX(Заказы!$B$3:$B$29,MATCH(B11,Заказы!$A$3:$A$29,0)))</f>
        <v>1</v>
      </c>
      <c r="D11" s="20" t="str">
        <f aca="false">IF(B11="","",VLOOKUP(B11,Каталог!$A:$C,2,0))</f>
        <v>Шт</v>
      </c>
      <c r="E11" s="22" t="n">
        <f aca="false">IF(B11="","",VLOOKUP(B11,Каталог!$A:$C,3,0))</f>
        <v>400</v>
      </c>
      <c r="F11" s="22" t="n">
        <f aca="false">IF(B11="","",C11*E11)</f>
        <v>400</v>
      </c>
      <c r="H11" s="20" t="str">
        <f aca="false">IF(I11="","",4)</f>
        <v/>
      </c>
      <c r="I11" s="21" t="str">
        <f aca="false" t="array" ref="I11:I11">IFERROR(INDEX(Заказы!$A$3:$A$29,SMALL(IF(Заказы!$C$3:$C$29&gt;0,ROW(Заказы!$C$3:$C$29)-ROW(C$3)+1),4)),"")</f>
        <v/>
      </c>
      <c r="J11" s="20" t="str">
        <f aca="false">IF(I11="","",INDEX(Заказы!$C$3:$C$29,MATCH(I11,Заказы!$A$3:$A$29,0)))</f>
        <v/>
      </c>
      <c r="K11" s="20" t="str">
        <f aca="false">IF(I11="","",VLOOKUP(I11,Каталог!$A:$C,2,0))</f>
        <v/>
      </c>
      <c r="L11" s="22" t="str">
        <f aca="false">IF(I11="","",VLOOKUP(I11,Каталог!$A:$C,3,0))</f>
        <v/>
      </c>
      <c r="M11" s="22" t="str">
        <f aca="false">IF(I11="","",J11*L11)</f>
        <v/>
      </c>
    </row>
    <row r="12" customFormat="false" ht="15" hidden="false" customHeight="false" outlineLevel="0" collapsed="false">
      <c r="A12" s="20" t="str">
        <f aca="false">IF(B12="","",5)</f>
        <v/>
      </c>
      <c r="B12" s="21" t="str">
        <f aca="false" t="array" ref="B12:B12">IFERROR(INDEX(Заказы!$A$3:$A$29,SMALL(IF(Заказы!$B$3:$B$29&gt;0,ROW(Заказы!$B$3:$B$29)-ROW(B$3)+1),5)),"")</f>
        <v/>
      </c>
      <c r="C12" s="20" t="str">
        <f aca="false">IF(B12="","",INDEX(Заказы!$B$3:$B$29,MATCH(B12,Заказы!$A$3:$A$29,0)))</f>
        <v/>
      </c>
      <c r="D12" s="20" t="str">
        <f aca="false">IF(B12="","",VLOOKUP(B12,Каталог!$A:$C,2,0))</f>
        <v/>
      </c>
      <c r="E12" s="22" t="str">
        <f aca="false">IF(B12="","",VLOOKUP(B12,Каталог!$A:$C,3,0))</f>
        <v/>
      </c>
      <c r="F12" s="22" t="str">
        <f aca="false">IF(B12="","",C12*E12)</f>
        <v/>
      </c>
      <c r="H12" s="20" t="str">
        <f aca="false">IF(I12="","",5)</f>
        <v/>
      </c>
      <c r="I12" s="21" t="str">
        <f aca="false" t="array" ref="I12:I12">IFERROR(INDEX(Заказы!$A$3:$A$29,SMALL(IF(Заказы!$C$3:$C$29&gt;0,ROW(Заказы!$C$3:$C$29)-ROW(C$3)+1),5)),"")</f>
        <v/>
      </c>
      <c r="J12" s="20" t="str">
        <f aca="false">IF(I12="","",INDEX(Заказы!$C$3:$C$29,MATCH(I12,Заказы!$A$3:$A$29,0)))</f>
        <v/>
      </c>
      <c r="K12" s="20" t="str">
        <f aca="false">IF(I12="","",VLOOKUP(I12,Каталог!$A:$C,2,0))</f>
        <v/>
      </c>
      <c r="L12" s="22" t="str">
        <f aca="false">IF(I12="","",VLOOKUP(I12,Каталог!$A:$C,3,0))</f>
        <v/>
      </c>
      <c r="M12" s="22" t="str">
        <f aca="false">IF(I12="","",J12*L12)</f>
        <v/>
      </c>
    </row>
    <row r="13" customFormat="false" ht="15" hidden="false" customHeight="false" outlineLevel="0" collapsed="false">
      <c r="A13" s="20" t="str">
        <f aca="false">IF(B13="","",6)</f>
        <v/>
      </c>
      <c r="B13" s="21" t="str">
        <f aca="false" t="array" ref="B13:B13">IFERROR(INDEX(Заказы!$A$3:$A$29,SMALL(IF(Заказы!$B$3:$B$29&gt;0,ROW(Заказы!$B$3:$B$29)-ROW(B$3)+1),6)),"")</f>
        <v/>
      </c>
      <c r="C13" s="20" t="str">
        <f aca="false">IF(B13="","",INDEX(Заказы!$B$3:$B$29,MATCH(B13,Заказы!$A$3:$A$29,0)))</f>
        <v/>
      </c>
      <c r="D13" s="20" t="str">
        <f aca="false">IF(B13="","",VLOOKUP(B13,Каталог!$A:$C,2,0))</f>
        <v/>
      </c>
      <c r="E13" s="22" t="str">
        <f aca="false">IF(B13="","",VLOOKUP(B13,Каталог!$A:$C,3,0))</f>
        <v/>
      </c>
      <c r="F13" s="22" t="str">
        <f aca="false">IF(B13="","",C13*E13)</f>
        <v/>
      </c>
      <c r="H13" s="20" t="str">
        <f aca="false">IF(I13="","",6)</f>
        <v/>
      </c>
      <c r="I13" s="21" t="str">
        <f aca="false" t="array" ref="I13:I13">IFERROR(INDEX(Заказы!$A$3:$A$29,SMALL(IF(Заказы!$C$3:$C$29&gt;0,ROW(Заказы!$C$3:$C$29)-ROW(C$3)+1),6)),"")</f>
        <v/>
      </c>
      <c r="J13" s="20" t="str">
        <f aca="false">IF(I13="","",INDEX(Заказы!$C$3:$C$29,MATCH(I13,Заказы!$A$3:$A$29,0)))</f>
        <v/>
      </c>
      <c r="K13" s="20" t="str">
        <f aca="false">IF(I13="","",VLOOKUP(I13,Каталог!$A:$C,2,0))</f>
        <v/>
      </c>
      <c r="L13" s="22" t="str">
        <f aca="false">IF(I13="","",VLOOKUP(I13,Каталог!$A:$C,3,0))</f>
        <v/>
      </c>
      <c r="M13" s="22" t="str">
        <f aca="false">IF(I13="","",J13*L13)</f>
        <v/>
      </c>
    </row>
    <row r="14" customFormat="false" ht="15" hidden="false" customHeight="false" outlineLevel="0" collapsed="false">
      <c r="A14" s="20" t="str">
        <f aca="false">IF(B14="","",7)</f>
        <v/>
      </c>
      <c r="B14" s="21" t="str">
        <f aca="false" t="array" ref="B14:B14">IFERROR(INDEX(Заказы!$A$3:$A$29,SMALL(IF(Заказы!$B$3:$B$29&gt;0,ROW(Заказы!$B$3:$B$29)-ROW(B$3)+1),7)),"")</f>
        <v/>
      </c>
      <c r="C14" s="20" t="str">
        <f aca="false">IF(B14="","",INDEX(Заказы!$B$3:$B$29,MATCH(B14,Заказы!$A$3:$A$29,0)))</f>
        <v/>
      </c>
      <c r="D14" s="20" t="str">
        <f aca="false">IF(B14="","",VLOOKUP(B14,Каталог!$A:$C,2,0))</f>
        <v/>
      </c>
      <c r="E14" s="22" t="str">
        <f aca="false">IF(B14="","",VLOOKUP(B14,Каталог!$A:$C,3,0))</f>
        <v/>
      </c>
      <c r="F14" s="22" t="str">
        <f aca="false">IF(B14="","",C14*E14)</f>
        <v/>
      </c>
      <c r="H14" s="20" t="str">
        <f aca="false">IF(I14="","",7)</f>
        <v/>
      </c>
      <c r="I14" s="21" t="str">
        <f aca="false" t="array" ref="I14:I14">IFERROR(INDEX(Заказы!$A$3:$A$29,SMALL(IF(Заказы!$C$3:$C$29&gt;0,ROW(Заказы!$C$3:$C$29)-ROW(C$3)+1),7)),"")</f>
        <v/>
      </c>
      <c r="J14" s="20" t="str">
        <f aca="false">IF(I14="","",INDEX(Заказы!$C$3:$C$29,MATCH(I14,Заказы!$A$3:$A$29,0)))</f>
        <v/>
      </c>
      <c r="K14" s="20" t="str">
        <f aca="false">IF(I14="","",VLOOKUP(I14,Каталог!$A:$C,2,0))</f>
        <v/>
      </c>
      <c r="L14" s="22" t="str">
        <f aca="false">IF(I14="","",VLOOKUP(I14,Каталог!$A:$C,3,0))</f>
        <v/>
      </c>
      <c r="M14" s="22" t="str">
        <f aca="false">IF(I14="","",J14*L14)</f>
        <v/>
      </c>
    </row>
    <row r="15" customFormat="false" ht="15" hidden="false" customHeight="false" outlineLevel="0" collapsed="false">
      <c r="A15" s="20" t="str">
        <f aca="false">IF(B15="","",8)</f>
        <v/>
      </c>
      <c r="B15" s="21" t="str">
        <f aca="false" t="array" ref="B15:B15">IFERROR(INDEX(Заказы!$A$3:$A$29,SMALL(IF(Заказы!$B$3:$B$29&gt;0,ROW(Заказы!$B$3:$B$29)-ROW(B$3)+1),8)),"")</f>
        <v/>
      </c>
      <c r="C15" s="20" t="str">
        <f aca="false">IF(B15="","",INDEX(Заказы!$B$3:$B$29,MATCH(B15,Заказы!$A$3:$A$29,0)))</f>
        <v/>
      </c>
      <c r="D15" s="20" t="str">
        <f aca="false">IF(B15="","",VLOOKUP(B15,Каталог!$A:$C,2,0))</f>
        <v/>
      </c>
      <c r="E15" s="22" t="str">
        <f aca="false">IF(B15="","",VLOOKUP(B15,Каталог!$A:$C,3,0))</f>
        <v/>
      </c>
      <c r="F15" s="22" t="str">
        <f aca="false">IF(B15="","",C15*E15)</f>
        <v/>
      </c>
      <c r="H15" s="20" t="str">
        <f aca="false">IF(I15="","",8)</f>
        <v/>
      </c>
      <c r="I15" s="21" t="str">
        <f aca="false" t="array" ref="I15:I15">IFERROR(INDEX(Заказы!$A$3:$A$29,SMALL(IF(Заказы!$C$3:$C$29&gt;0,ROW(Заказы!$C$3:$C$29)-ROW(C$3)+1),8)),"")</f>
        <v/>
      </c>
      <c r="J15" s="20" t="str">
        <f aca="false">IF(I15="","",INDEX(Заказы!$C$3:$C$29,MATCH(I15,Заказы!$A$3:$A$29,0)))</f>
        <v/>
      </c>
      <c r="K15" s="20" t="str">
        <f aca="false">IF(I15="","",VLOOKUP(I15,Каталог!$A:$C,2,0))</f>
        <v/>
      </c>
      <c r="L15" s="22" t="str">
        <f aca="false">IF(I15="","",VLOOKUP(I15,Каталог!$A:$C,3,0))</f>
        <v/>
      </c>
      <c r="M15" s="22" t="str">
        <f aca="false">IF(I15="","",J15*L15)</f>
        <v/>
      </c>
    </row>
    <row r="16" customFormat="false" ht="15" hidden="false" customHeight="false" outlineLevel="0" collapsed="false">
      <c r="A16" s="20" t="str">
        <f aca="false">IF(B16="","",9)</f>
        <v/>
      </c>
      <c r="B16" s="21" t="str">
        <f aca="false" t="array" ref="B16:B16">IFERROR(INDEX(Заказы!$A$3:$A$29,SMALL(IF(Заказы!$B$3:$B$29&gt;0,ROW(Заказы!$B$3:$B$29)-ROW(B$3)+1),9)),"")</f>
        <v/>
      </c>
      <c r="C16" s="20" t="str">
        <f aca="false">IF(B16="","",INDEX(Заказы!$B$3:$B$29,MATCH(B16,Заказы!$A$3:$A$29,0)))</f>
        <v/>
      </c>
      <c r="D16" s="20" t="str">
        <f aca="false">IF(B16="","",VLOOKUP(B16,Каталог!$A:$C,2,0))</f>
        <v/>
      </c>
      <c r="E16" s="22" t="str">
        <f aca="false">IF(B16="","",VLOOKUP(B16,Каталог!$A:$C,3,0))</f>
        <v/>
      </c>
      <c r="F16" s="22" t="str">
        <f aca="false">IF(B16="","",C16*E16)</f>
        <v/>
      </c>
      <c r="H16" s="20" t="str">
        <f aca="false">IF(I16="","",9)</f>
        <v/>
      </c>
      <c r="I16" s="21" t="str">
        <f aca="false" t="array" ref="I16:I16">IFERROR(INDEX(Заказы!$A$3:$A$29,SMALL(IF(Заказы!$C$3:$C$29&gt;0,ROW(Заказы!$C$3:$C$29)-ROW(C$3)+1),9)),"")</f>
        <v/>
      </c>
      <c r="J16" s="20" t="str">
        <f aca="false">IF(I16="","",INDEX(Заказы!$C$3:$C$29,MATCH(I16,Заказы!$A$3:$A$29,0)))</f>
        <v/>
      </c>
      <c r="K16" s="20" t="str">
        <f aca="false">IF(I16="","",VLOOKUP(I16,Каталог!$A:$C,2,0))</f>
        <v/>
      </c>
      <c r="L16" s="22" t="str">
        <f aca="false">IF(I16="","",VLOOKUP(I16,Каталог!$A:$C,3,0))</f>
        <v/>
      </c>
      <c r="M16" s="22" t="str">
        <f aca="false">IF(I16="","",J16*L16)</f>
        <v/>
      </c>
    </row>
    <row r="17" customFormat="false" ht="15" hidden="false" customHeight="false" outlineLevel="0" collapsed="false">
      <c r="A17" s="20" t="str">
        <f aca="false">IF(B17="","",10)</f>
        <v/>
      </c>
      <c r="B17" s="21" t="str">
        <f aca="false" t="array" ref="B17:B17">IFERROR(INDEX(Заказы!$A$3:$A$29,SMALL(IF(Заказы!$B$3:$B$29&gt;0,ROW(Заказы!$B$3:$B$29)-ROW(B$3)+1),10)),"")</f>
        <v/>
      </c>
      <c r="C17" s="20" t="str">
        <f aca="false">IF(B17="","",INDEX(Заказы!$B$3:$B$29,MATCH(B17,Заказы!$A$3:$A$29,0)))</f>
        <v/>
      </c>
      <c r="D17" s="20" t="str">
        <f aca="false">IF(B17="","",VLOOKUP(B17,Каталог!$A:$C,2,0))</f>
        <v/>
      </c>
      <c r="E17" s="22" t="str">
        <f aca="false">IF(B17="","",VLOOKUP(B17,Каталог!$A:$C,3,0))</f>
        <v/>
      </c>
      <c r="F17" s="22" t="str">
        <f aca="false">IF(B17="","",C17*E17)</f>
        <v/>
      </c>
      <c r="H17" s="20" t="str">
        <f aca="false">IF(I17="","",10)</f>
        <v/>
      </c>
      <c r="I17" s="21" t="str">
        <f aca="false" t="array" ref="I17:I17">IFERROR(INDEX(Заказы!$A$3:$A$29,SMALL(IF(Заказы!$C$3:$C$29&gt;0,ROW(Заказы!$C$3:$C$29)-ROW(C$3)+1),10)),"")</f>
        <v/>
      </c>
      <c r="J17" s="20" t="str">
        <f aca="false">IF(I17="","",INDEX(Заказы!$C$3:$C$29,MATCH(I17,Заказы!$A$3:$A$29,0)))</f>
        <v/>
      </c>
      <c r="K17" s="20" t="str">
        <f aca="false">IF(I17="","",VLOOKUP(I17,Каталог!$A:$C,2,0))</f>
        <v/>
      </c>
      <c r="L17" s="22" t="str">
        <f aca="false">IF(I17="","",VLOOKUP(I17,Каталог!$A:$C,3,0))</f>
        <v/>
      </c>
      <c r="M17" s="22" t="str">
        <f aca="false">IF(I17="","",J17*L17)</f>
        <v/>
      </c>
    </row>
    <row r="18" customFormat="false" ht="15" hidden="false" customHeight="false" outlineLevel="0" collapsed="false">
      <c r="A18" s="20" t="str">
        <f aca="false">IF(B18="","",11)</f>
        <v/>
      </c>
      <c r="B18" s="21" t="str">
        <f aca="false" t="array" ref="B18:B18">IFERROR(INDEX(Заказы!$A$3:$A$29,SMALL(IF(Заказы!$B$3:$B$29&gt;0,ROW(Заказы!$B$3:$B$29)-ROW(B$3)+1),11)),"")</f>
        <v/>
      </c>
      <c r="C18" s="20" t="str">
        <f aca="false">IF(B18="","",INDEX(Заказы!$B$3:$B$29,MATCH(B18,Заказы!$A$3:$A$29,0)))</f>
        <v/>
      </c>
      <c r="D18" s="20" t="str">
        <f aca="false">IF(B18="","",VLOOKUP(B18,Каталог!$A:$C,2,0))</f>
        <v/>
      </c>
      <c r="E18" s="22" t="str">
        <f aca="false">IF(B18="","",VLOOKUP(B18,Каталог!$A:$C,3,0))</f>
        <v/>
      </c>
      <c r="F18" s="22" t="str">
        <f aca="false">IF(B18="","",C18*E18)</f>
        <v/>
      </c>
      <c r="H18" s="20" t="str">
        <f aca="false">IF(I18="","",11)</f>
        <v/>
      </c>
      <c r="I18" s="21" t="str">
        <f aca="false" t="array" ref="I18:I18">IFERROR(INDEX(Заказы!$A$3:$A$29,SMALL(IF(Заказы!$C$3:$C$29&gt;0,ROW(Заказы!$C$3:$C$29)-ROW(C$3)+1),11)),"")</f>
        <v/>
      </c>
      <c r="J18" s="20" t="str">
        <f aca="false">IF(I18="","",INDEX(Заказы!$C$3:$C$29,MATCH(I18,Заказы!$A$3:$A$29,0)))</f>
        <v/>
      </c>
      <c r="K18" s="20" t="str">
        <f aca="false">IF(I18="","",VLOOKUP(I18,Каталог!$A:$C,2,0))</f>
        <v/>
      </c>
      <c r="L18" s="22" t="str">
        <f aca="false">IF(I18="","",VLOOKUP(I18,Каталог!$A:$C,3,0))</f>
        <v/>
      </c>
      <c r="M18" s="22" t="str">
        <f aca="false">IF(I18="","",J18*L18)</f>
        <v/>
      </c>
    </row>
    <row r="19" customFormat="false" ht="15" hidden="false" customHeight="false" outlineLevel="0" collapsed="false">
      <c r="A19" s="20" t="str">
        <f aca="false">IF(B19="","",12)</f>
        <v/>
      </c>
      <c r="B19" s="21" t="str">
        <f aca="false" t="array" ref="B19:B19">IFERROR(INDEX(Заказы!$A$3:$A$29,SMALL(IF(Заказы!$B$3:$B$29&gt;0,ROW(Заказы!$B$3:$B$29)-ROW(B$3)+1),12)),"")</f>
        <v/>
      </c>
      <c r="C19" s="20" t="str">
        <f aca="false">IF(B19="","",INDEX(Заказы!$B$3:$B$29,MATCH(B19,Заказы!$A$3:$A$29,0)))</f>
        <v/>
      </c>
      <c r="D19" s="20" t="str">
        <f aca="false">IF(B19="","",VLOOKUP(B19,Каталог!$A:$C,2,0))</f>
        <v/>
      </c>
      <c r="E19" s="22" t="str">
        <f aca="false">IF(B19="","",VLOOKUP(B19,Каталог!$A:$C,3,0))</f>
        <v/>
      </c>
      <c r="F19" s="22" t="str">
        <f aca="false">IF(B19="","",C19*E19)</f>
        <v/>
      </c>
      <c r="H19" s="20" t="str">
        <f aca="false">IF(I19="","",12)</f>
        <v/>
      </c>
      <c r="I19" s="21" t="str">
        <f aca="false" t="array" ref="I19:I19">IFERROR(INDEX(Заказы!$A$3:$A$29,SMALL(IF(Заказы!$C$3:$C$29&gt;0,ROW(Заказы!$C$3:$C$29)-ROW(C$3)+1),12)),"")</f>
        <v/>
      </c>
      <c r="J19" s="20" t="str">
        <f aca="false">IF(I19="","",INDEX(Заказы!$C$3:$C$29,MATCH(I19,Заказы!$A$3:$A$29,0)))</f>
        <v/>
      </c>
      <c r="K19" s="20" t="str">
        <f aca="false">IF(I19="","",VLOOKUP(I19,Каталог!$A:$C,2,0))</f>
        <v/>
      </c>
      <c r="L19" s="22" t="str">
        <f aca="false">IF(I19="","",VLOOKUP(I19,Каталог!$A:$C,3,0))</f>
        <v/>
      </c>
      <c r="M19" s="22" t="str">
        <f aca="false">IF(I19="","",J19*L19)</f>
        <v/>
      </c>
    </row>
    <row r="20" customFormat="false" ht="15" hidden="false" customHeight="false" outlineLevel="0" collapsed="false">
      <c r="A20" s="20" t="str">
        <f aca="false">IF(B20="","",13)</f>
        <v/>
      </c>
      <c r="B20" s="21" t="str">
        <f aca="false" t="array" ref="B20:B20">IFERROR(INDEX(Заказы!$A$3:$A$29,SMALL(IF(Заказы!$B$3:$B$29&gt;0,ROW(Заказы!$B$3:$B$29)-ROW(B$3)+1),13)),"")</f>
        <v/>
      </c>
      <c r="C20" s="20" t="str">
        <f aca="false">IF(B20="","",INDEX(Заказы!$B$3:$B$29,MATCH(B20,Заказы!$A$3:$A$29,0)))</f>
        <v/>
      </c>
      <c r="D20" s="20" t="str">
        <f aca="false">IF(B20="","",VLOOKUP(B20,Каталог!$A:$C,2,0))</f>
        <v/>
      </c>
      <c r="E20" s="22" t="str">
        <f aca="false">IF(B20="","",VLOOKUP(B20,Каталог!$A:$C,3,0))</f>
        <v/>
      </c>
      <c r="F20" s="22" t="str">
        <f aca="false">IF(B20="","",C20*E20)</f>
        <v/>
      </c>
      <c r="H20" s="20" t="str">
        <f aca="false">IF(I20="","",13)</f>
        <v/>
      </c>
      <c r="I20" s="21" t="str">
        <f aca="false" t="array" ref="I20:I20">IFERROR(INDEX(Заказы!$A$3:$A$29,SMALL(IF(Заказы!$C$3:$C$29&gt;0,ROW(Заказы!$C$3:$C$29)-ROW(C$3)+1),13)),"")</f>
        <v/>
      </c>
      <c r="J20" s="20" t="str">
        <f aca="false">IF(I20="","",INDEX(Заказы!$C$3:$C$29,MATCH(I20,Заказы!$A$3:$A$29,0)))</f>
        <v/>
      </c>
      <c r="K20" s="20" t="str">
        <f aca="false">IF(I20="","",VLOOKUP(I20,Каталог!$A:$C,2,0))</f>
        <v/>
      </c>
      <c r="L20" s="22" t="str">
        <f aca="false">IF(I20="","",VLOOKUP(I20,Каталог!$A:$C,3,0))</f>
        <v/>
      </c>
      <c r="M20" s="22" t="str">
        <f aca="false">IF(I20="","",J20*L20)</f>
        <v/>
      </c>
    </row>
    <row r="21" customFormat="false" ht="15" hidden="false" customHeight="false" outlineLevel="0" collapsed="false">
      <c r="A21" s="20" t="str">
        <f aca="false">IF(B21="","",14)</f>
        <v/>
      </c>
      <c r="B21" s="21" t="str">
        <f aca="false" t="array" ref="B21:B21">IFERROR(INDEX(Заказы!$A$3:$A$29,SMALL(IF(Заказы!$B$3:$B$29&gt;0,ROW(Заказы!$B$3:$B$29)-ROW(B$3)+1),14)),"")</f>
        <v/>
      </c>
      <c r="C21" s="20" t="str">
        <f aca="false">IF(B21="","",INDEX(Заказы!$B$3:$B$29,MATCH(B21,Заказы!$A$3:$A$29,0)))</f>
        <v/>
      </c>
      <c r="D21" s="20" t="str">
        <f aca="false">IF(B21="","",VLOOKUP(B21,Каталог!$A:$C,2,0))</f>
        <v/>
      </c>
      <c r="E21" s="22" t="str">
        <f aca="false">IF(B21="","",VLOOKUP(B21,Каталог!$A:$C,3,0))</f>
        <v/>
      </c>
      <c r="F21" s="22" t="str">
        <f aca="false">IF(B21="","",C21*E21)</f>
        <v/>
      </c>
      <c r="H21" s="20" t="str">
        <f aca="false">IF(I21="","",14)</f>
        <v/>
      </c>
      <c r="I21" s="21" t="str">
        <f aca="false" t="array" ref="I21:I21">IFERROR(INDEX(Заказы!$A$3:$A$29,SMALL(IF(Заказы!$C$3:$C$29&gt;0,ROW(Заказы!$C$3:$C$29)-ROW(C$3)+1),14)),"")</f>
        <v/>
      </c>
      <c r="J21" s="20" t="str">
        <f aca="false">IF(I21="","",INDEX(Заказы!$C$3:$C$29,MATCH(I21,Заказы!$A$3:$A$29,0)))</f>
        <v/>
      </c>
      <c r="K21" s="20" t="str">
        <f aca="false">IF(I21="","",VLOOKUP(I21,Каталог!$A:$C,2,0))</f>
        <v/>
      </c>
      <c r="L21" s="22" t="str">
        <f aca="false">IF(I21="","",VLOOKUP(I21,Каталог!$A:$C,3,0))</f>
        <v/>
      </c>
      <c r="M21" s="22" t="str">
        <f aca="false">IF(I21="","",J21*L21)</f>
        <v/>
      </c>
    </row>
    <row r="22" customFormat="false" ht="15" hidden="false" customHeight="false" outlineLevel="0" collapsed="false">
      <c r="A22" s="20" t="str">
        <f aca="false">IF(B22="","",15)</f>
        <v/>
      </c>
      <c r="B22" s="21" t="str">
        <f aca="false" t="array" ref="B22:B22">IFERROR(INDEX(Заказы!$A$3:$A$29,SMALL(IF(Заказы!$B$3:$B$29&gt;0,ROW(Заказы!$B$3:$B$29)-ROW(B$3)+1),15)),"")</f>
        <v/>
      </c>
      <c r="C22" s="20" t="str">
        <f aca="false">IF(B22="","",INDEX(Заказы!$B$3:$B$29,MATCH(B22,Заказы!$A$3:$A$29,0)))</f>
        <v/>
      </c>
      <c r="D22" s="20" t="str">
        <f aca="false">IF(B22="","",VLOOKUP(B22,Каталог!$A:$C,2,0))</f>
        <v/>
      </c>
      <c r="E22" s="22" t="str">
        <f aca="false">IF(B22="","",VLOOKUP(B22,Каталог!$A:$C,3,0))</f>
        <v/>
      </c>
      <c r="F22" s="22" t="str">
        <f aca="false">IF(B22="","",C22*E22)</f>
        <v/>
      </c>
      <c r="H22" s="20" t="str">
        <f aca="false">IF(I22="","",15)</f>
        <v/>
      </c>
      <c r="I22" s="21" t="str">
        <f aca="false" t="array" ref="I22:I22">IFERROR(INDEX(Заказы!$A$3:$A$29,SMALL(IF(Заказы!$C$3:$C$29&gt;0,ROW(Заказы!$C$3:$C$29)-ROW(C$3)+1),15)),"")</f>
        <v/>
      </c>
      <c r="J22" s="20" t="str">
        <f aca="false">IF(I22="","",INDEX(Заказы!$C$3:$C$29,MATCH(I22,Заказы!$A$3:$A$29,0)))</f>
        <v/>
      </c>
      <c r="K22" s="20" t="str">
        <f aca="false">IF(I22="","",VLOOKUP(I22,Каталог!$A:$C,2,0))</f>
        <v/>
      </c>
      <c r="L22" s="22" t="str">
        <f aca="false">IF(I22="","",VLOOKUP(I22,Каталог!$A:$C,3,0))</f>
        <v/>
      </c>
      <c r="M22" s="22" t="str">
        <f aca="false">IF(I22="","",J22*L22)</f>
        <v/>
      </c>
    </row>
    <row r="23" customFormat="false" ht="15" hidden="false" customHeight="false" outlineLevel="0" collapsed="false">
      <c r="A23" s="20" t="str">
        <f aca="false">IF(B23="","",16)</f>
        <v/>
      </c>
      <c r="B23" s="21" t="str">
        <f aca="false" t="array" ref="B23:B23">IFERROR(INDEX(Заказы!$A$3:$A$29,SMALL(IF(Заказы!$B$3:$B$29&gt;0,ROW(Заказы!$B$3:$B$29)-ROW(B$3)+1),16)),"")</f>
        <v/>
      </c>
      <c r="C23" s="20" t="str">
        <f aca="false">IF(B23="","",INDEX(Заказы!$B$3:$B$29,MATCH(B23,Заказы!$A$3:$A$29,0)))</f>
        <v/>
      </c>
      <c r="D23" s="20" t="str">
        <f aca="false">IF(B23="","",VLOOKUP(B23,Каталог!$A:$C,2,0))</f>
        <v/>
      </c>
      <c r="E23" s="22" t="str">
        <f aca="false">IF(B23="","",VLOOKUP(B23,Каталог!$A:$C,3,0))</f>
        <v/>
      </c>
      <c r="F23" s="22" t="str">
        <f aca="false">IF(B23="","",C23*E23)</f>
        <v/>
      </c>
      <c r="H23" s="20" t="str">
        <f aca="false">IF(I23="","",16)</f>
        <v/>
      </c>
      <c r="I23" s="21" t="str">
        <f aca="false" t="array" ref="I23:I23">IFERROR(INDEX(Заказы!$A$3:$A$29,SMALL(IF(Заказы!$C$3:$C$29&gt;0,ROW(Заказы!$C$3:$C$29)-ROW(C$3)+1),16)),"")</f>
        <v/>
      </c>
      <c r="J23" s="20" t="str">
        <f aca="false">IF(I23="","",INDEX(Заказы!$C$3:$C$29,MATCH(I23,Заказы!$A$3:$A$29,0)))</f>
        <v/>
      </c>
      <c r="K23" s="20" t="str">
        <f aca="false">IF(I23="","",VLOOKUP(I23,Каталог!$A:$C,2,0))</f>
        <v/>
      </c>
      <c r="L23" s="22" t="str">
        <f aca="false">IF(I23="","",VLOOKUP(I23,Каталог!$A:$C,3,0))</f>
        <v/>
      </c>
      <c r="M23" s="22" t="str">
        <f aca="false">IF(I23="","",J23*L23)</f>
        <v/>
      </c>
    </row>
    <row r="24" customFormat="false" ht="15" hidden="false" customHeight="false" outlineLevel="0" collapsed="false">
      <c r="A24" s="20" t="str">
        <f aca="false">IF(B24="","",17)</f>
        <v/>
      </c>
      <c r="B24" s="21" t="str">
        <f aca="false" t="array" ref="B24:B24">IFERROR(INDEX(Заказы!$A$3:$A$29,SMALL(IF(Заказы!$B$3:$B$29&gt;0,ROW(Заказы!$B$3:$B$29)-ROW(B$3)+1),17)),"")</f>
        <v/>
      </c>
      <c r="C24" s="20" t="str">
        <f aca="false">IF(B24="","",INDEX(Заказы!$B$3:$B$29,MATCH(B24,Заказы!$A$3:$A$29,0)))</f>
        <v/>
      </c>
      <c r="D24" s="20" t="str">
        <f aca="false">IF(B24="","",VLOOKUP(B24,Каталог!$A:$C,2,0))</f>
        <v/>
      </c>
      <c r="E24" s="22" t="str">
        <f aca="false">IF(B24="","",VLOOKUP(B24,Каталог!$A:$C,3,0))</f>
        <v/>
      </c>
      <c r="F24" s="22" t="str">
        <f aca="false">IF(B24="","",C24*E24)</f>
        <v/>
      </c>
      <c r="H24" s="20" t="str">
        <f aca="false">IF(I24="","",17)</f>
        <v/>
      </c>
      <c r="I24" s="21" t="str">
        <f aca="false" t="array" ref="I24:I24">IFERROR(INDEX(Заказы!$A$3:$A$29,SMALL(IF(Заказы!$C$3:$C$29&gt;0,ROW(Заказы!$C$3:$C$29)-ROW(C$3)+1),17)),"")</f>
        <v/>
      </c>
      <c r="J24" s="20" t="str">
        <f aca="false">IF(I24="","",INDEX(Заказы!$C$3:$C$29,MATCH(I24,Заказы!$A$3:$A$29,0)))</f>
        <v/>
      </c>
      <c r="K24" s="20" t="str">
        <f aca="false">IF(I24="","",VLOOKUP(I24,Каталог!$A:$C,2,0))</f>
        <v/>
      </c>
      <c r="L24" s="22" t="str">
        <f aca="false">IF(I24="","",VLOOKUP(I24,Каталог!$A:$C,3,0))</f>
        <v/>
      </c>
      <c r="M24" s="22" t="str">
        <f aca="false">IF(I24="","",J24*L24)</f>
        <v/>
      </c>
    </row>
    <row r="25" customFormat="false" ht="15" hidden="false" customHeight="false" outlineLevel="0" collapsed="false">
      <c r="A25" s="20" t="str">
        <f aca="false">IF(B25="","",18)</f>
        <v/>
      </c>
      <c r="B25" s="21" t="str">
        <f aca="false" t="array" ref="B25:B25">IFERROR(INDEX(Заказы!$A$3:$A$29,SMALL(IF(Заказы!$B$3:$B$29&gt;0,ROW(Заказы!$B$3:$B$29)-ROW(B$3)+1),18)),"")</f>
        <v/>
      </c>
      <c r="C25" s="20" t="str">
        <f aca="false">IF(B25="","",INDEX(Заказы!$B$3:$B$29,MATCH(B25,Заказы!$A$3:$A$29,0)))</f>
        <v/>
      </c>
      <c r="D25" s="20" t="str">
        <f aca="false">IF(B25="","",VLOOKUP(B25,Каталог!$A:$C,2,0))</f>
        <v/>
      </c>
      <c r="E25" s="22" t="str">
        <f aca="false">IF(B25="","",VLOOKUP(B25,Каталог!$A:$C,3,0))</f>
        <v/>
      </c>
      <c r="F25" s="22" t="str">
        <f aca="false">IF(B25="","",C25*E25)</f>
        <v/>
      </c>
      <c r="H25" s="20" t="str">
        <f aca="false">IF(I25="","",18)</f>
        <v/>
      </c>
      <c r="I25" s="21" t="str">
        <f aca="false" t="array" ref="I25:I25">IFERROR(INDEX(Заказы!$A$3:$A$29,SMALL(IF(Заказы!$C$3:$C$29&gt;0,ROW(Заказы!$C$3:$C$29)-ROW(C$3)+1),18)),"")</f>
        <v/>
      </c>
      <c r="J25" s="20" t="str">
        <f aca="false">IF(I25="","",INDEX(Заказы!$C$3:$C$29,MATCH(I25,Заказы!$A$3:$A$29,0)))</f>
        <v/>
      </c>
      <c r="K25" s="20" t="str">
        <f aca="false">IF(I25="","",VLOOKUP(I25,Каталог!$A:$C,2,0))</f>
        <v/>
      </c>
      <c r="L25" s="22" t="str">
        <f aca="false">IF(I25="","",VLOOKUP(I25,Каталог!$A:$C,3,0))</f>
        <v/>
      </c>
      <c r="M25" s="22" t="str">
        <f aca="false">IF(I25="","",J25*L25)</f>
        <v/>
      </c>
    </row>
    <row r="26" customFormat="false" ht="15" hidden="false" customHeight="false" outlineLevel="0" collapsed="false">
      <c r="A26" s="20" t="str">
        <f aca="false">IF(B26="","",19)</f>
        <v/>
      </c>
      <c r="B26" s="21" t="str">
        <f aca="false" t="array" ref="B26:B26">IFERROR(INDEX(Заказы!$A$3:$A$29,SMALL(IF(Заказы!$B$3:$B$29&gt;0,ROW(Заказы!$B$3:$B$29)-ROW(B$3)+1),19)),"")</f>
        <v/>
      </c>
      <c r="C26" s="20" t="str">
        <f aca="false">IF(B26="","",INDEX(Заказы!$B$3:$B$29,MATCH(B26,Заказы!$A$3:$A$29,0)))</f>
        <v/>
      </c>
      <c r="D26" s="20" t="str">
        <f aca="false">IF(B26="","",VLOOKUP(B26,Каталог!$A:$C,2,0))</f>
        <v/>
      </c>
      <c r="E26" s="22" t="str">
        <f aca="false">IF(B26="","",VLOOKUP(B26,Каталог!$A:$C,3,0))</f>
        <v/>
      </c>
      <c r="F26" s="22" t="str">
        <f aca="false">IF(B26="","",C26*E26)</f>
        <v/>
      </c>
      <c r="H26" s="20" t="str">
        <f aca="false">IF(I26="","",19)</f>
        <v/>
      </c>
      <c r="I26" s="21" t="str">
        <f aca="false" t="array" ref="I26:I26">IFERROR(INDEX(Заказы!$A$3:$A$29,SMALL(IF(Заказы!$C$3:$C$29&gt;0,ROW(Заказы!$C$3:$C$29)-ROW(C$3)+1),19)),"")</f>
        <v/>
      </c>
      <c r="J26" s="20" t="str">
        <f aca="false">IF(I26="","",INDEX(Заказы!$C$3:$C$29,MATCH(I26,Заказы!$A$3:$A$29,0)))</f>
        <v/>
      </c>
      <c r="K26" s="20" t="str">
        <f aca="false">IF(I26="","",VLOOKUP(I26,Каталог!$A:$C,2,0))</f>
        <v/>
      </c>
      <c r="L26" s="22" t="str">
        <f aca="false">IF(I26="","",VLOOKUP(I26,Каталог!$A:$C,3,0))</f>
        <v/>
      </c>
      <c r="M26" s="22" t="str">
        <f aca="false">IF(I26="","",J26*L26)</f>
        <v/>
      </c>
    </row>
    <row r="27" customFormat="false" ht="15" hidden="false" customHeight="false" outlineLevel="0" collapsed="false">
      <c r="A27" s="20" t="str">
        <f aca="false">IF(B27="","",20)</f>
        <v/>
      </c>
      <c r="B27" s="21" t="str">
        <f aca="false" t="array" ref="B27:B27">IFERROR(INDEX(Заказы!$A$3:$A$29,SMALL(IF(Заказы!$B$3:$B$29&gt;0,ROW(Заказы!$B$3:$B$29)-ROW(B$3)+1),20)),"")</f>
        <v/>
      </c>
      <c r="C27" s="20" t="str">
        <f aca="false">IF(B27="","",INDEX(Заказы!$B$3:$B$29,MATCH(B27,Заказы!$A$3:$A$29,0)))</f>
        <v/>
      </c>
      <c r="D27" s="20" t="str">
        <f aca="false">IF(B27="","",VLOOKUP(B27,Каталог!$A:$C,2,0))</f>
        <v/>
      </c>
      <c r="E27" s="22" t="str">
        <f aca="false">IF(B27="","",VLOOKUP(B27,Каталог!$A:$C,3,0))</f>
        <v/>
      </c>
      <c r="F27" s="22" t="str">
        <f aca="false">IF(B27="","",C27*E27)</f>
        <v/>
      </c>
      <c r="H27" s="20" t="str">
        <f aca="false">IF(I27="","",20)</f>
        <v/>
      </c>
      <c r="I27" s="21" t="str">
        <f aca="false" t="array" ref="I27:I27">IFERROR(INDEX(Заказы!$A$3:$A$29,SMALL(IF(Заказы!$C$3:$C$29&gt;0,ROW(Заказы!$C$3:$C$29)-ROW(C$3)+1),20)),"")</f>
        <v/>
      </c>
      <c r="J27" s="20" t="str">
        <f aca="false">IF(I27="","",INDEX(Заказы!$C$3:$C$29,MATCH(I27,Заказы!$A$3:$A$29,0)))</f>
        <v/>
      </c>
      <c r="K27" s="20" t="str">
        <f aca="false">IF(I27="","",VLOOKUP(I27,Каталог!$A:$C,2,0))</f>
        <v/>
      </c>
      <c r="L27" s="22" t="str">
        <f aca="false">IF(I27="","",VLOOKUP(I27,Каталог!$A:$C,3,0))</f>
        <v/>
      </c>
      <c r="M27" s="22" t="str">
        <f aca="false">IF(I27="","",J27*L27)</f>
        <v/>
      </c>
    </row>
    <row r="28" customFormat="false" ht="15" hidden="false" customHeight="false" outlineLevel="0" collapsed="false">
      <c r="A28" s="20" t="str">
        <f aca="false">IF(B28="","",21)</f>
        <v/>
      </c>
      <c r="B28" s="21" t="str">
        <f aca="false" t="array" ref="B28:B28">IFERROR(INDEX(Заказы!$A$3:$A$29,SMALL(IF(Заказы!$B$3:$B$29&gt;0,ROW(Заказы!$B$3:$B$29)-ROW(B$3)+1),21)),"")</f>
        <v/>
      </c>
      <c r="C28" s="20" t="str">
        <f aca="false">IF(B28="","",INDEX(Заказы!$B$3:$B$29,MATCH(B28,Заказы!$A$3:$A$29,0)))</f>
        <v/>
      </c>
      <c r="D28" s="20" t="str">
        <f aca="false">IF(B28="","",VLOOKUP(B28,Каталог!$A:$C,2,0))</f>
        <v/>
      </c>
      <c r="E28" s="22" t="str">
        <f aca="false">IF(B28="","",VLOOKUP(B28,Каталог!$A:$C,3,0))</f>
        <v/>
      </c>
      <c r="F28" s="22" t="str">
        <f aca="false">IF(B28="","",C28*E28)</f>
        <v/>
      </c>
      <c r="H28" s="20" t="str">
        <f aca="false">IF(I28="","",21)</f>
        <v/>
      </c>
      <c r="I28" s="21" t="str">
        <f aca="false" t="array" ref="I28:I28">IFERROR(INDEX(Заказы!$A$3:$A$29,SMALL(IF(Заказы!$C$3:$C$29&gt;0,ROW(Заказы!$C$3:$C$29)-ROW(C$3)+1),21)),"")</f>
        <v/>
      </c>
      <c r="J28" s="20" t="str">
        <f aca="false">IF(I28="","",INDEX(Заказы!$C$3:$C$29,MATCH(I28,Заказы!$A$3:$A$29,0)))</f>
        <v/>
      </c>
      <c r="K28" s="20" t="str">
        <f aca="false">IF(I28="","",VLOOKUP(I28,Каталог!$A:$C,2,0))</f>
        <v/>
      </c>
      <c r="L28" s="22" t="str">
        <f aca="false">IF(I28="","",VLOOKUP(I28,Каталог!$A:$C,3,0))</f>
        <v/>
      </c>
      <c r="M28" s="22" t="str">
        <f aca="false">IF(I28="","",J28*L28)</f>
        <v/>
      </c>
    </row>
    <row r="29" customFormat="false" ht="15" hidden="false" customHeight="false" outlineLevel="0" collapsed="false">
      <c r="A29" s="20" t="str">
        <f aca="false">IF(B29="","",22)</f>
        <v/>
      </c>
      <c r="B29" s="21" t="str">
        <f aca="false" t="array" ref="B29:B29">IFERROR(INDEX(Заказы!$A$3:$A$29,SMALL(IF(Заказы!$B$3:$B$29&gt;0,ROW(Заказы!$B$3:$B$29)-ROW(B$3)+1),22)),"")</f>
        <v/>
      </c>
      <c r="C29" s="20" t="str">
        <f aca="false">IF(B29="","",INDEX(Заказы!$B$3:$B$29,MATCH(B29,Заказы!$A$3:$A$29,0)))</f>
        <v/>
      </c>
      <c r="D29" s="20" t="str">
        <f aca="false">IF(B29="","",VLOOKUP(B29,Каталог!$A:$C,2,0))</f>
        <v/>
      </c>
      <c r="E29" s="22" t="str">
        <f aca="false">IF(B29="","",VLOOKUP(B29,Каталог!$A:$C,3,0))</f>
        <v/>
      </c>
      <c r="F29" s="22" t="str">
        <f aca="false">IF(B29="","",C29*E29)</f>
        <v/>
      </c>
      <c r="H29" s="20" t="str">
        <f aca="false">IF(I29="","",22)</f>
        <v/>
      </c>
      <c r="I29" s="21" t="str">
        <f aca="false" t="array" ref="I29:I29">IFERROR(INDEX(Заказы!$A$3:$A$29,SMALL(IF(Заказы!$C$3:$C$29&gt;0,ROW(Заказы!$C$3:$C$29)-ROW(C$3)+1),22)),"")</f>
        <v/>
      </c>
      <c r="J29" s="20" t="str">
        <f aca="false">IF(I29="","",INDEX(Заказы!$C$3:$C$29,MATCH(I29,Заказы!$A$3:$A$29,0)))</f>
        <v/>
      </c>
      <c r="K29" s="20" t="str">
        <f aca="false">IF(I29="","",VLOOKUP(I29,Каталог!$A:$C,2,0))</f>
        <v/>
      </c>
      <c r="L29" s="22" t="str">
        <f aca="false">IF(I29="","",VLOOKUP(I29,Каталог!$A:$C,3,0))</f>
        <v/>
      </c>
      <c r="M29" s="22" t="str">
        <f aca="false">IF(I29="","",J29*L29)</f>
        <v/>
      </c>
    </row>
    <row r="30" customFormat="false" ht="15" hidden="false" customHeight="false" outlineLevel="0" collapsed="false">
      <c r="A30" s="20" t="str">
        <f aca="false">IF(B30="","",23)</f>
        <v/>
      </c>
      <c r="B30" s="21" t="str">
        <f aca="false" t="array" ref="B30:B30">IFERROR(INDEX(Заказы!$A$3:$A$29,SMALL(IF(Заказы!$B$3:$B$29&gt;0,ROW(Заказы!$B$3:$B$29)-ROW(B$3)+1),23)),"")</f>
        <v/>
      </c>
      <c r="C30" s="20" t="str">
        <f aca="false">IF(B30="","",INDEX(Заказы!$B$3:$B$29,MATCH(B30,Заказы!$A$3:$A$29,0)))</f>
        <v/>
      </c>
      <c r="D30" s="20" t="str">
        <f aca="false">IF(B30="","",VLOOKUP(B30,Каталог!$A:$C,2,0))</f>
        <v/>
      </c>
      <c r="E30" s="22" t="str">
        <f aca="false">IF(B30="","",VLOOKUP(B30,Каталог!$A:$C,3,0))</f>
        <v/>
      </c>
      <c r="F30" s="22" t="str">
        <f aca="false">IF(B30="","",C30*E30)</f>
        <v/>
      </c>
      <c r="H30" s="20" t="str">
        <f aca="false">IF(I30="","",23)</f>
        <v/>
      </c>
      <c r="I30" s="21" t="str">
        <f aca="false" t="array" ref="I30:I30">IFERROR(INDEX(Заказы!$A$3:$A$29,SMALL(IF(Заказы!$C$3:$C$29&gt;0,ROW(Заказы!$C$3:$C$29)-ROW(C$3)+1),23)),"")</f>
        <v/>
      </c>
      <c r="J30" s="20" t="str">
        <f aca="false">IF(I30="","",INDEX(Заказы!$C$3:$C$29,MATCH(I30,Заказы!$A$3:$A$29,0)))</f>
        <v/>
      </c>
      <c r="K30" s="20" t="str">
        <f aca="false">IF(I30="","",VLOOKUP(I30,Каталог!$A:$C,2,0))</f>
        <v/>
      </c>
      <c r="L30" s="22" t="str">
        <f aca="false">IF(I30="","",VLOOKUP(I30,Каталог!$A:$C,3,0))</f>
        <v/>
      </c>
      <c r="M30" s="22" t="str">
        <f aca="false">IF(I30="","",J30*L30)</f>
        <v/>
      </c>
    </row>
    <row r="31" customFormat="false" ht="15" hidden="false" customHeight="false" outlineLevel="0" collapsed="false">
      <c r="A31" s="20" t="str">
        <f aca="false">IF(B31="","",24)</f>
        <v/>
      </c>
      <c r="B31" s="21" t="str">
        <f aca="false" t="array" ref="B31:B31">IFERROR(INDEX(Заказы!$A$3:$A$29,SMALL(IF(Заказы!$B$3:$B$29&gt;0,ROW(Заказы!$B$3:$B$29)-ROW(B$3)+1),24)),"")</f>
        <v/>
      </c>
      <c r="C31" s="20" t="str">
        <f aca="false">IF(B31="","",INDEX(Заказы!$B$3:$B$29,MATCH(B31,Заказы!$A$3:$A$29,0)))</f>
        <v/>
      </c>
      <c r="D31" s="20" t="str">
        <f aca="false">IF(B31="","",VLOOKUP(B31,Каталог!$A:$C,2,0))</f>
        <v/>
      </c>
      <c r="E31" s="22" t="str">
        <f aca="false">IF(B31="","",VLOOKUP(B31,Каталог!$A:$C,3,0))</f>
        <v/>
      </c>
      <c r="F31" s="22" t="str">
        <f aca="false">IF(B31="","",C31*E31)</f>
        <v/>
      </c>
      <c r="H31" s="20" t="str">
        <f aca="false">IF(I31="","",24)</f>
        <v/>
      </c>
      <c r="I31" s="21" t="str">
        <f aca="false" t="array" ref="I31:I31">IFERROR(INDEX(Заказы!$A$3:$A$29,SMALL(IF(Заказы!$C$3:$C$29&gt;0,ROW(Заказы!$C$3:$C$29)-ROW(C$3)+1),24)),"")</f>
        <v/>
      </c>
      <c r="J31" s="20" t="str">
        <f aca="false">IF(I31="","",INDEX(Заказы!$C$3:$C$29,MATCH(I31,Заказы!$A$3:$A$29,0)))</f>
        <v/>
      </c>
      <c r="K31" s="20" t="str">
        <f aca="false">IF(I31="","",VLOOKUP(I31,Каталог!$A:$C,2,0))</f>
        <v/>
      </c>
      <c r="L31" s="22" t="str">
        <f aca="false">IF(I31="","",VLOOKUP(I31,Каталог!$A:$C,3,0))</f>
        <v/>
      </c>
      <c r="M31" s="22" t="str">
        <f aca="false">IF(I31="","",J31*L31)</f>
        <v/>
      </c>
    </row>
    <row r="32" customFormat="false" ht="15" hidden="false" customHeight="false" outlineLevel="0" collapsed="false">
      <c r="A32" s="20" t="str">
        <f aca="false">IF(B32="","",25)</f>
        <v/>
      </c>
      <c r="B32" s="21" t="str">
        <f aca="false" t="array" ref="B32:B32">IFERROR(INDEX(Заказы!$A$3:$A$29,SMALL(IF(Заказы!$B$3:$B$29&gt;0,ROW(Заказы!$B$3:$B$29)-ROW(B$3)+1),25)),"")</f>
        <v/>
      </c>
      <c r="C32" s="20" t="str">
        <f aca="false">IF(B32="","",INDEX(Заказы!$B$3:$B$29,MATCH(B32,Заказы!$A$3:$A$29,0)))</f>
        <v/>
      </c>
      <c r="D32" s="20" t="str">
        <f aca="false">IF(B32="","",VLOOKUP(B32,Каталог!$A:$C,2,0))</f>
        <v/>
      </c>
      <c r="E32" s="22" t="str">
        <f aca="false">IF(B32="","",VLOOKUP(B32,Каталог!$A:$C,3,0))</f>
        <v/>
      </c>
      <c r="F32" s="22" t="str">
        <f aca="false">IF(B32="","",C32*E32)</f>
        <v/>
      </c>
      <c r="H32" s="20" t="str">
        <f aca="false">IF(I32="","",25)</f>
        <v/>
      </c>
      <c r="I32" s="21" t="str">
        <f aca="false" t="array" ref="I32:I32">IFERROR(INDEX(Заказы!$A$3:$A$29,SMALL(IF(Заказы!$C$3:$C$29&gt;0,ROW(Заказы!$C$3:$C$29)-ROW(C$3)+1),25)),"")</f>
        <v/>
      </c>
      <c r="J32" s="20" t="str">
        <f aca="false">IF(I32="","",INDEX(Заказы!$C$3:$C$29,MATCH(I32,Заказы!$A$3:$A$29,0)))</f>
        <v/>
      </c>
      <c r="K32" s="20" t="str">
        <f aca="false">IF(I32="","",VLOOKUP(I32,Каталог!$A:$C,2,0))</f>
        <v/>
      </c>
      <c r="L32" s="22" t="str">
        <f aca="false">IF(I32="","",VLOOKUP(I32,Каталог!$A:$C,3,0))</f>
        <v/>
      </c>
      <c r="M32" s="22" t="str">
        <f aca="false">IF(I32="","",J32*L32)</f>
        <v/>
      </c>
    </row>
    <row r="33" customFormat="false" ht="15" hidden="false" customHeight="false" outlineLevel="0" collapsed="false">
      <c r="A33" s="20" t="str">
        <f aca="false">IF(B33="","",26)</f>
        <v/>
      </c>
      <c r="B33" s="21" t="str">
        <f aca="false" t="array" ref="B33:B33">IFERROR(INDEX(Заказы!$A$3:$A$29,SMALL(IF(Заказы!$B$3:$B$29&gt;0,ROW(Заказы!$B$3:$B$29)-ROW(B$3)+1),26)),"")</f>
        <v/>
      </c>
      <c r="C33" s="20" t="str">
        <f aca="false">IF(B33="","",INDEX(Заказы!$B$3:$B$29,MATCH(B33,Заказы!$A$3:$A$29,0)))</f>
        <v/>
      </c>
      <c r="D33" s="20" t="str">
        <f aca="false">IF(B33="","",VLOOKUP(B33,Каталог!$A:$C,2,0))</f>
        <v/>
      </c>
      <c r="E33" s="22" t="str">
        <f aca="false">IF(B33="","",VLOOKUP(B33,Каталог!$A:$C,3,0))</f>
        <v/>
      </c>
      <c r="F33" s="22" t="str">
        <f aca="false">IF(B33="","",C33*E33)</f>
        <v/>
      </c>
      <c r="H33" s="20" t="str">
        <f aca="false">IF(I33="","",26)</f>
        <v/>
      </c>
      <c r="I33" s="21" t="str">
        <f aca="false" t="array" ref="I33:I33">IFERROR(INDEX(Заказы!$A$3:$A$29,SMALL(IF(Заказы!$C$3:$C$29&gt;0,ROW(Заказы!$C$3:$C$29)-ROW(C$3)+1),26)),"")</f>
        <v/>
      </c>
      <c r="J33" s="20" t="str">
        <f aca="false">IF(I33="","",INDEX(Заказы!$C$3:$C$29,MATCH(I33,Заказы!$A$3:$A$29,0)))</f>
        <v/>
      </c>
      <c r="K33" s="20" t="str">
        <f aca="false">IF(I33="","",VLOOKUP(I33,Каталог!$A:$C,2,0))</f>
        <v/>
      </c>
      <c r="L33" s="22" t="str">
        <f aca="false">IF(I33="","",VLOOKUP(I33,Каталог!$A:$C,3,0))</f>
        <v/>
      </c>
      <c r="M33" s="22" t="str">
        <f aca="false">IF(I33="","",J33*L33)</f>
        <v/>
      </c>
    </row>
    <row r="34" customFormat="false" ht="15" hidden="false" customHeight="false" outlineLevel="0" collapsed="false">
      <c r="A34" s="20" t="str">
        <f aca="false">IF(B34="","",27)</f>
        <v/>
      </c>
      <c r="B34" s="21" t="str">
        <f aca="false" t="array" ref="B34:B34">IFERROR(INDEX(Заказы!$A$3:$A$29,SMALL(IF(Заказы!$B$3:$B$29&gt;0,ROW(Заказы!$B$3:$B$29)-ROW(B$3)+1),27)),"")</f>
        <v/>
      </c>
      <c r="C34" s="20" t="str">
        <f aca="false">IF(B34="","",INDEX(Заказы!$B$3:$B$29,MATCH(B34,Заказы!$A$3:$A$29,0)))</f>
        <v/>
      </c>
      <c r="D34" s="20" t="str">
        <f aca="false">IF(B34="","",VLOOKUP(B34,Каталог!$A:$C,2,0))</f>
        <v/>
      </c>
      <c r="E34" s="22" t="str">
        <f aca="false">IF(B34="","",VLOOKUP(B34,Каталог!$A:$C,3,0))</f>
        <v/>
      </c>
      <c r="F34" s="22" t="str">
        <f aca="false">IF(B34="","",C34*E34)</f>
        <v/>
      </c>
      <c r="H34" s="20" t="str">
        <f aca="false">IF(I34="","",27)</f>
        <v/>
      </c>
      <c r="I34" s="21" t="str">
        <f aca="false" t="array" ref="I34:I34">IFERROR(INDEX(Заказы!$A$3:$A$29,SMALL(IF(Заказы!$C$3:$C$29&gt;0,ROW(Заказы!$C$3:$C$29)-ROW(C$3)+1),27)),"")</f>
        <v/>
      </c>
      <c r="J34" s="20" t="str">
        <f aca="false">IF(I34="","",INDEX(Заказы!$C$3:$C$29,MATCH(I34,Заказы!$A$3:$A$29,0)))</f>
        <v/>
      </c>
      <c r="K34" s="20" t="str">
        <f aca="false">IF(I34="","",VLOOKUP(I34,Каталог!$A:$C,2,0))</f>
        <v/>
      </c>
      <c r="L34" s="22" t="str">
        <f aca="false">IF(I34="","",VLOOKUP(I34,Каталог!$A:$C,3,0))</f>
        <v/>
      </c>
      <c r="M34" s="22" t="str">
        <f aca="false">IF(I34="","",J34*L34)</f>
        <v/>
      </c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H35" s="23"/>
      <c r="I35" s="23"/>
      <c r="J35" s="23"/>
      <c r="K35" s="23"/>
      <c r="L35" s="23"/>
      <c r="M35" s="23"/>
    </row>
    <row r="36" customFormat="false" ht="15" hidden="false" customHeight="false" outlineLevel="0" collapsed="false">
      <c r="A36" s="24" t="str">
        <f aca="false">IF(COUNTIF(Заказы!$B$3:$B$29,"&gt;0")=0,"","Итого:")</f>
        <v>Итого:</v>
      </c>
      <c r="B36" s="24"/>
      <c r="C36" s="24"/>
      <c r="D36" s="24"/>
      <c r="E36" s="25" t="n">
        <f aca="false">IF(COUNTIF(Заказы!$B$3:$B$29,"&gt;0")=0,"",SUM(F8:F34))</f>
        <v>12530</v>
      </c>
      <c r="F36" s="25"/>
      <c r="H36" s="24" t="str">
        <f aca="false">IF(COUNTIF(Заказы!$C$3:$C$29,"&gt;0")=0,"","Итого:")</f>
        <v>Итого:</v>
      </c>
      <c r="I36" s="24"/>
      <c r="J36" s="24"/>
      <c r="K36" s="24"/>
      <c r="L36" s="25" t="n">
        <f aca="false">IF(COUNTIF(Заказы!$C$3:$C$29,"&gt;0")=0,"",SUM(M8:M34))</f>
        <v>2070</v>
      </c>
      <c r="M36" s="25"/>
    </row>
    <row r="38" customFormat="false" ht="15" hidden="false" customHeight="false" outlineLevel="0" collapsed="false">
      <c r="A38" s="18" t="str">
        <f aca="false">IF(COUNTIF(Заказы!$B$3:$B$29,"&gt;0")=0,"","Подпись отправителя: __________________")</f>
        <v>Подпись отправителя: __________________</v>
      </c>
      <c r="B38" s="18"/>
      <c r="C38" s="18"/>
      <c r="D38" s="18"/>
      <c r="E38" s="18"/>
      <c r="F38" s="18"/>
      <c r="H38" s="18" t="str">
        <f aca="false">IF(COUNTIF(Заказы!$C$3:$C$29,"&gt;0")=0,"","Подпись отправителя: __________________")</f>
        <v>Подпись отправителя: __________________</v>
      </c>
      <c r="I38" s="18"/>
      <c r="J38" s="18"/>
      <c r="K38" s="18"/>
      <c r="L38" s="18"/>
      <c r="M38" s="18"/>
    </row>
    <row r="39" customFormat="false" ht="15" hidden="false" customHeight="false" outlineLevel="0" collapsed="false">
      <c r="A39" s="18" t="str">
        <f aca="false">IF(COUNTIF(Заказы!$B$3:$B$29,"&gt;0")=0,"","Подпись получателя: ___________________")</f>
        <v>Подпись получателя: ___________________</v>
      </c>
      <c r="B39" s="18"/>
      <c r="C39" s="18"/>
      <c r="D39" s="18"/>
      <c r="E39" s="18"/>
      <c r="F39" s="18"/>
      <c r="H39" s="18" t="str">
        <f aca="false">IF(COUNTIF(Заказы!$C$3:$C$29,"&gt;0")=0,"","Подпись получателя: ___________________")</f>
        <v>Подпись получателя: ___________________</v>
      </c>
      <c r="I39" s="18"/>
      <c r="J39" s="18"/>
      <c r="K39" s="18"/>
      <c r="L39" s="18"/>
      <c r="M39" s="18"/>
    </row>
    <row r="41" customFormat="false" ht="17.35" hidden="false" customHeight="false" outlineLevel="0" collapsed="false">
      <c r="A41" s="17" t="str">
        <f aca="false">IF(COUNTIF(Заказы!$D$3:$D$29,"&gt;0")=0,"","НАКЛАДНАЯ")</f>
        <v>НАКЛАДНАЯ</v>
      </c>
      <c r="B41" s="17"/>
      <c r="C41" s="17"/>
      <c r="D41" s="17"/>
      <c r="E41" s="17"/>
      <c r="F41" s="17"/>
      <c r="H41" s="17" t="str">
        <f aca="false">IF(COUNTIF(Заказы!$E$3:$E$29,"&gt;0")=0,"","НАКЛАДНАЯ")</f>
        <v>НАКЛАДНАЯ</v>
      </c>
      <c r="I41" s="17"/>
      <c r="J41" s="17"/>
      <c r="K41" s="17"/>
      <c r="L41" s="17"/>
      <c r="M41" s="17"/>
    </row>
    <row r="42" customFormat="false" ht="15" hidden="false" customHeight="false" outlineLevel="0" collapsed="false">
      <c r="A42" s="18" t="str">
        <f aca="false">IF(COUNTIF(Заказы!$D$3:$D$29,"&gt;0")=0,"","Отправитель: Brown кондитерский цех")</f>
        <v>Отправитель: Brown кондитерский цех</v>
      </c>
      <c r="B42" s="18"/>
      <c r="C42" s="18"/>
      <c r="D42" s="18"/>
      <c r="E42" s="18"/>
      <c r="F42" s="18"/>
      <c r="H42" s="18" t="str">
        <f aca="false">IF(COUNTIF(Заказы!$E$3:$E$29,"&gt;0")=0,"","Отправитель: Brown кондитерский цех")</f>
        <v>Отправитель: Brown кондитерский цех</v>
      </c>
      <c r="I42" s="18"/>
      <c r="J42" s="18"/>
      <c r="K42" s="18"/>
      <c r="L42" s="18"/>
      <c r="M42" s="18"/>
    </row>
    <row r="43" customFormat="false" ht="15" hidden="false" customHeight="false" outlineLevel="0" collapsed="false">
      <c r="A43" s="18" t="str">
        <f aca="false">IF(COUNTIF(Заказы!$D$3:$D$29,"&gt;0")=0,"","Получатель: "&amp;Заказы!D$2)</f>
        <v>Получатель: Ашимова</v>
      </c>
      <c r="B43" s="18"/>
      <c r="C43" s="18"/>
      <c r="D43" s="18"/>
      <c r="E43" s="18"/>
      <c r="F43" s="18"/>
      <c r="H43" s="18" t="str">
        <f aca="false">IF(COUNTIF(Заказы!$E$3:$E$29,"&gt;0")=0,"","Получатель: "&amp;Заказы!E$2)</f>
        <v>Получатель: Гагарина</v>
      </c>
      <c r="I43" s="18"/>
      <c r="J43" s="18"/>
      <c r="K43" s="18"/>
      <c r="L43" s="18"/>
      <c r="M43" s="18"/>
    </row>
    <row r="44" customFormat="false" ht="15" hidden="false" customHeight="false" outlineLevel="0" collapsed="false">
      <c r="A44" s="19" t="str">
        <f aca="false">IF(COUNTIF(Заказы!$D$3:$D$29,"&gt;0")=0,"","Накладная от: "&amp;TEXT(Заказы!$B$1,"dd.mm.yyyy"))</f>
        <v>Накладная от: 22.09.2026</v>
      </c>
      <c r="B44" s="19"/>
      <c r="C44" s="19"/>
      <c r="D44" s="19"/>
      <c r="E44" s="19"/>
      <c r="F44" s="19"/>
      <c r="H44" s="19" t="str">
        <f aca="false">IF(COUNTIF(Заказы!$E$3:$E$29,"&gt;0")=0,"","Накладная от: "&amp;TEXT(Заказы!$B$1,"dd.mm.yyyy"))</f>
        <v>Накладная от: 22.09.2026</v>
      </c>
      <c r="I44" s="19"/>
      <c r="J44" s="19"/>
      <c r="K44" s="19"/>
      <c r="L44" s="19"/>
      <c r="M44" s="19"/>
    </row>
    <row r="46" customFormat="false" ht="15" hidden="false" customHeight="false" outlineLevel="0" collapsed="false">
      <c r="A46" s="4" t="str">
        <f aca="false">IF(COUNTIF(Заказы!$D$3:$D$29,"&gt;0")=0,"","№")</f>
        <v>№</v>
      </c>
      <c r="B46" s="4" t="str">
        <f aca="false">IF(COUNTIF(Заказы!$D$3:$D$29,"&gt;0")=0,"","Наименование")</f>
        <v>Наименование</v>
      </c>
      <c r="C46" s="4" t="str">
        <f aca="false">IF(COUNTIF(Заказы!$D$3:$D$29,"&gt;0")=0,"","Кол.")</f>
        <v>Кол.</v>
      </c>
      <c r="D46" s="4" t="str">
        <f aca="false">IF(COUNTIF(Заказы!$D$3:$D$29,"&gt;0")=0,"","Ед.")</f>
        <v>Ед.</v>
      </c>
      <c r="E46" s="4" t="str">
        <f aca="false">IF(COUNTIF(Заказы!$D$3:$D$29,"&gt;0")=0,"","Цена")</f>
        <v>Цена</v>
      </c>
      <c r="F46" s="4" t="str">
        <f aca="false">IF(COUNTIF(Заказы!$D$3:$D$29,"&gt;0")=0,"","Сумма")</f>
        <v>Сумма</v>
      </c>
      <c r="H46" s="4" t="str">
        <f aca="false">IF(COUNTIF(Заказы!$E$3:$E$29,"&gt;0")=0,"","№")</f>
        <v>№</v>
      </c>
      <c r="I46" s="4" t="str">
        <f aca="false">IF(COUNTIF(Заказы!$E$3:$E$29,"&gt;0")=0,"","Наименование")</f>
        <v>Наименование</v>
      </c>
      <c r="J46" s="4" t="str">
        <f aca="false">IF(COUNTIF(Заказы!$E$3:$E$29,"&gt;0")=0,"","Кол.")</f>
        <v>Кол.</v>
      </c>
      <c r="K46" s="4" t="str">
        <f aca="false">IF(COUNTIF(Заказы!$E$3:$E$29,"&gt;0")=0,"","Ед.")</f>
        <v>Ед.</v>
      </c>
      <c r="L46" s="4" t="str">
        <f aca="false">IF(COUNTIF(Заказы!$E$3:$E$29,"&gt;0")=0,"","Цена")</f>
        <v>Цена</v>
      </c>
      <c r="M46" s="4" t="str">
        <f aca="false">IF(COUNTIF(Заказы!$E$3:$E$29,"&gt;0")=0,"","Сумма")</f>
        <v>Сумма</v>
      </c>
    </row>
    <row r="47" customFormat="false" ht="15" hidden="false" customHeight="false" outlineLevel="0" collapsed="false">
      <c r="A47" s="20" t="n">
        <f aca="false">IF(B47="","",1)</f>
        <v>1</v>
      </c>
      <c r="B47" s="21" t="str">
        <f aca="false" t="array" ref="B47:B47">IFERROR(INDEX(Заказы!$A$3:$A$29,SMALL(IF(Заказы!$D$3:$D$29&gt;0,ROW(Заказы!$D$3:$D$29)-ROW(D$3)+1),1)),"")</f>
        <v>Фисташковый рулет</v>
      </c>
      <c r="C47" s="7" t="n">
        <f aca="false">IF(B47="","",INDEX(Заказы!$D$3:$D$29,MATCH(B47,Заказы!$A$3:$A$29,0)))</f>
        <v>2</v>
      </c>
      <c r="D47" s="20" t="str">
        <f aca="false">IF(B47="","",VLOOKUP(B47,Каталог!$A:$C,2,0))</f>
        <v>Шт</v>
      </c>
      <c r="E47" s="22" t="n">
        <f aca="false">IF(B47="","",VLOOKUP(B47,Каталог!$A:$C,3,0))</f>
        <v>890</v>
      </c>
      <c r="F47" s="22" t="n">
        <f aca="false">IF(B47="","",C47*E47)</f>
        <v>1780</v>
      </c>
      <c r="H47" s="20" t="n">
        <f aca="false">IF(I47="","",1)</f>
        <v>1</v>
      </c>
      <c r="I47" s="21" t="str">
        <f aca="false" t="array" ref="I47:I47">IFERROR(INDEX(Заказы!$A$3:$A$29,SMALL(IF(Заказы!$E$3:$E$29&gt;0,ROW(Заказы!$E$3:$E$29)-ROW(E$3)+1),1)),"")</f>
        <v>Фисташковый рулет</v>
      </c>
      <c r="J47" s="7" t="n">
        <f aca="false">IF(I47="","",INDEX(Заказы!$E$3:$E$29,MATCH(I47,Заказы!$A$3:$A$29,0)))</f>
        <v>1</v>
      </c>
      <c r="K47" s="20" t="str">
        <f aca="false">IF(I47="","",VLOOKUP(I47,Каталог!$A:$C,2,0))</f>
        <v>Шт</v>
      </c>
      <c r="L47" s="22" t="n">
        <f aca="false">IF(I47="","",VLOOKUP(I47,Каталог!$A:$C,3,0))</f>
        <v>890</v>
      </c>
      <c r="M47" s="22" t="n">
        <f aca="false">IF(I47="","",J47*L47)</f>
        <v>890</v>
      </c>
    </row>
    <row r="48" customFormat="false" ht="15" hidden="false" customHeight="false" outlineLevel="0" collapsed="false">
      <c r="A48" s="20" t="str">
        <f aca="false">IF(B48="","",2)</f>
        <v/>
      </c>
      <c r="B48" s="21" t="str">
        <f aca="false" t="array" ref="B48:B48">IFERROR(INDEX(Заказы!$A$3:$A$29,SMALL(IF(Заказы!$D$3:$D$29&gt;0,ROW(Заказы!$D$3:$D$29)-ROW(D$3)+1),2)),"")</f>
        <v/>
      </c>
      <c r="C48" s="20" t="str">
        <f aca="false">IF(B48="","",INDEX(Заказы!$D$3:$D$29,MATCH(B48,Заказы!$A$3:$A$29,0)))</f>
        <v/>
      </c>
      <c r="D48" s="20" t="str">
        <f aca="false">IF(B48="","",VLOOKUP(B48,Каталог!$A:$C,2,0))</f>
        <v/>
      </c>
      <c r="E48" s="22" t="str">
        <f aca="false">IF(B48="","",VLOOKUP(B48,Каталог!$A:$C,3,0))</f>
        <v/>
      </c>
      <c r="F48" s="22" t="str">
        <f aca="false">IF(B48="","",C48*E48)</f>
        <v/>
      </c>
      <c r="H48" s="20" t="str">
        <f aca="false">IF(I48="","",2)</f>
        <v/>
      </c>
      <c r="I48" s="21" t="str">
        <f aca="false" t="array" ref="I48:I48">IFERROR(INDEX(Заказы!$A$3:$A$29,SMALL(IF(Заказы!$E$3:$E$29&gt;0,ROW(Заказы!$E$3:$E$29)-ROW(E$3)+1),2)),"")</f>
        <v/>
      </c>
      <c r="J48" s="20" t="str">
        <f aca="false">IF(I48="","",INDEX(Заказы!$E$3:$E$29,MATCH(I48,Заказы!$A$3:$A$29,0)))</f>
        <v/>
      </c>
      <c r="K48" s="20" t="str">
        <f aca="false">IF(I48="","",VLOOKUP(I48,Каталог!$A:$C,2,0))</f>
        <v/>
      </c>
      <c r="L48" s="22" t="str">
        <f aca="false">IF(I48="","",VLOOKUP(I48,Каталог!$A:$C,3,0))</f>
        <v/>
      </c>
      <c r="M48" s="22" t="str">
        <f aca="false">IF(I48="","",J48*L48)</f>
        <v/>
      </c>
    </row>
    <row r="49" customFormat="false" ht="15" hidden="false" customHeight="false" outlineLevel="0" collapsed="false">
      <c r="A49" s="20" t="str">
        <f aca="false">IF(B49="","",3)</f>
        <v/>
      </c>
      <c r="B49" s="21" t="str">
        <f aca="false" t="array" ref="B49:B49">IFERROR(INDEX(Заказы!$A$3:$A$29,SMALL(IF(Заказы!$D$3:$D$29&gt;0,ROW(Заказы!$D$3:$D$29)-ROW(D$3)+1),3)),"")</f>
        <v/>
      </c>
      <c r="C49" s="20" t="str">
        <f aca="false">IF(B49="","",INDEX(Заказы!$D$3:$D$29,MATCH(B49,Заказы!$A$3:$A$29,0)))</f>
        <v/>
      </c>
      <c r="D49" s="20" t="str">
        <f aca="false">IF(B49="","",VLOOKUP(B49,Каталог!$A:$C,2,0))</f>
        <v/>
      </c>
      <c r="E49" s="22" t="str">
        <f aca="false">IF(B49="","",VLOOKUP(B49,Каталог!$A:$C,3,0))</f>
        <v/>
      </c>
      <c r="F49" s="22" t="str">
        <f aca="false">IF(B49="","",C49*E49)</f>
        <v/>
      </c>
      <c r="H49" s="20" t="str">
        <f aca="false">IF(I49="","",3)</f>
        <v/>
      </c>
      <c r="I49" s="21" t="str">
        <f aca="false" t="array" ref="I49:I49">IFERROR(INDEX(Заказы!$A$3:$A$29,SMALL(IF(Заказы!$E$3:$E$29&gt;0,ROW(Заказы!$E$3:$E$29)-ROW(E$3)+1),3)),"")</f>
        <v/>
      </c>
      <c r="J49" s="20" t="str">
        <f aca="false">IF(I49="","",INDEX(Заказы!$E$3:$E$29,MATCH(I49,Заказы!$A$3:$A$29,0)))</f>
        <v/>
      </c>
      <c r="K49" s="20" t="str">
        <f aca="false">IF(I49="","",VLOOKUP(I49,Каталог!$A:$C,2,0))</f>
        <v/>
      </c>
      <c r="L49" s="22" t="str">
        <f aca="false">IF(I49="","",VLOOKUP(I49,Каталог!$A:$C,3,0))</f>
        <v/>
      </c>
      <c r="M49" s="22" t="str">
        <f aca="false">IF(I49="","",J49*L49)</f>
        <v/>
      </c>
    </row>
    <row r="50" customFormat="false" ht="15" hidden="false" customHeight="false" outlineLevel="0" collapsed="false">
      <c r="A50" s="20" t="str">
        <f aca="false">IF(B50="","",4)</f>
        <v/>
      </c>
      <c r="B50" s="21" t="str">
        <f aca="false" t="array" ref="B50:B50">IFERROR(INDEX(Заказы!$A$3:$A$29,SMALL(IF(Заказы!$D$3:$D$29&gt;0,ROW(Заказы!$D$3:$D$29)-ROW(D$3)+1),4)),"")</f>
        <v/>
      </c>
      <c r="C50" s="20" t="str">
        <f aca="false">IF(B50="","",INDEX(Заказы!$D$3:$D$29,MATCH(B50,Заказы!$A$3:$A$29,0)))</f>
        <v/>
      </c>
      <c r="D50" s="20" t="str">
        <f aca="false">IF(B50="","",VLOOKUP(B50,Каталог!$A:$C,2,0))</f>
        <v/>
      </c>
      <c r="E50" s="22" t="str">
        <f aca="false">IF(B50="","",VLOOKUP(B50,Каталог!$A:$C,3,0))</f>
        <v/>
      </c>
      <c r="F50" s="22" t="str">
        <f aca="false">IF(B50="","",C50*E50)</f>
        <v/>
      </c>
      <c r="H50" s="20" t="str">
        <f aca="false">IF(I50="","",4)</f>
        <v/>
      </c>
      <c r="I50" s="21" t="str">
        <f aca="false" t="array" ref="I50:I50">IFERROR(INDEX(Заказы!$A$3:$A$29,SMALL(IF(Заказы!$E$3:$E$29&gt;0,ROW(Заказы!$E$3:$E$29)-ROW(E$3)+1),4)),"")</f>
        <v/>
      </c>
      <c r="J50" s="20" t="str">
        <f aca="false">IF(I50="","",INDEX(Заказы!$E$3:$E$29,MATCH(I50,Заказы!$A$3:$A$29,0)))</f>
        <v/>
      </c>
      <c r="K50" s="20" t="str">
        <f aca="false">IF(I50="","",VLOOKUP(I50,Каталог!$A:$C,2,0))</f>
        <v/>
      </c>
      <c r="L50" s="22" t="str">
        <f aca="false">IF(I50="","",VLOOKUP(I50,Каталог!$A:$C,3,0))</f>
        <v/>
      </c>
      <c r="M50" s="22" t="str">
        <f aca="false">IF(I50="","",J50*L50)</f>
        <v/>
      </c>
    </row>
    <row r="51" customFormat="false" ht="15" hidden="false" customHeight="false" outlineLevel="0" collapsed="false">
      <c r="A51" s="20" t="str">
        <f aca="false">IF(B51="","",5)</f>
        <v/>
      </c>
      <c r="B51" s="21" t="str">
        <f aca="false" t="array" ref="B51:B51">IFERROR(INDEX(Заказы!$A$3:$A$29,SMALL(IF(Заказы!$D$3:$D$29&gt;0,ROW(Заказы!$D$3:$D$29)-ROW(D$3)+1),5)),"")</f>
        <v/>
      </c>
      <c r="C51" s="20" t="str">
        <f aca="false">IF(B51="","",INDEX(Заказы!$D$3:$D$29,MATCH(B51,Заказы!$A$3:$A$29,0)))</f>
        <v/>
      </c>
      <c r="D51" s="20" t="str">
        <f aca="false">IF(B51="","",VLOOKUP(B51,Каталог!$A:$C,2,0))</f>
        <v/>
      </c>
      <c r="E51" s="22" t="str">
        <f aca="false">IF(B51="","",VLOOKUP(B51,Каталог!$A:$C,3,0))</f>
        <v/>
      </c>
      <c r="F51" s="22" t="str">
        <f aca="false">IF(B51="","",C51*E51)</f>
        <v/>
      </c>
      <c r="H51" s="20" t="str">
        <f aca="false">IF(I51="","",5)</f>
        <v/>
      </c>
      <c r="I51" s="21" t="str">
        <f aca="false" t="array" ref="I51:I51">IFERROR(INDEX(Заказы!$A$3:$A$29,SMALL(IF(Заказы!$E$3:$E$29&gt;0,ROW(Заказы!$E$3:$E$29)-ROW(E$3)+1),5)),"")</f>
        <v/>
      </c>
      <c r="J51" s="20" t="str">
        <f aca="false">IF(I51="","",INDEX(Заказы!$E$3:$E$29,MATCH(I51,Заказы!$A$3:$A$29,0)))</f>
        <v/>
      </c>
      <c r="K51" s="20" t="str">
        <f aca="false">IF(I51="","",VLOOKUP(I51,Каталог!$A:$C,2,0))</f>
        <v/>
      </c>
      <c r="L51" s="22" t="str">
        <f aca="false">IF(I51="","",VLOOKUP(I51,Каталог!$A:$C,3,0))</f>
        <v/>
      </c>
      <c r="M51" s="22" t="str">
        <f aca="false">IF(I51="","",J51*L51)</f>
        <v/>
      </c>
    </row>
    <row r="52" customFormat="false" ht="15" hidden="false" customHeight="false" outlineLevel="0" collapsed="false">
      <c r="A52" s="20" t="str">
        <f aca="false">IF(B52="","",6)</f>
        <v/>
      </c>
      <c r="B52" s="21" t="str">
        <f aca="false" t="array" ref="B52:B52">IFERROR(INDEX(Заказы!$A$3:$A$29,SMALL(IF(Заказы!$D$3:$D$29&gt;0,ROW(Заказы!$D$3:$D$29)-ROW(D$3)+1),6)),"")</f>
        <v/>
      </c>
      <c r="C52" s="20" t="str">
        <f aca="false">IF(B52="","",INDEX(Заказы!$D$3:$D$29,MATCH(B52,Заказы!$A$3:$A$29,0)))</f>
        <v/>
      </c>
      <c r="D52" s="20" t="str">
        <f aca="false">IF(B52="","",VLOOKUP(B52,Каталог!$A:$C,2,0))</f>
        <v/>
      </c>
      <c r="E52" s="22" t="str">
        <f aca="false">IF(B52="","",VLOOKUP(B52,Каталог!$A:$C,3,0))</f>
        <v/>
      </c>
      <c r="F52" s="22" t="str">
        <f aca="false">IF(B52="","",C52*E52)</f>
        <v/>
      </c>
      <c r="H52" s="20" t="str">
        <f aca="false">IF(I52="","",6)</f>
        <v/>
      </c>
      <c r="I52" s="21" t="str">
        <f aca="false" t="array" ref="I52:I52">IFERROR(INDEX(Заказы!$A$3:$A$29,SMALL(IF(Заказы!$E$3:$E$29&gt;0,ROW(Заказы!$E$3:$E$29)-ROW(E$3)+1),6)),"")</f>
        <v/>
      </c>
      <c r="J52" s="20" t="str">
        <f aca="false">IF(I52="","",INDEX(Заказы!$E$3:$E$29,MATCH(I52,Заказы!$A$3:$A$29,0)))</f>
        <v/>
      </c>
      <c r="K52" s="20" t="str">
        <f aca="false">IF(I52="","",VLOOKUP(I52,Каталог!$A:$C,2,0))</f>
        <v/>
      </c>
      <c r="L52" s="22" t="str">
        <f aca="false">IF(I52="","",VLOOKUP(I52,Каталог!$A:$C,3,0))</f>
        <v/>
      </c>
      <c r="M52" s="22" t="str">
        <f aca="false">IF(I52="","",J52*L52)</f>
        <v/>
      </c>
    </row>
    <row r="53" customFormat="false" ht="15" hidden="false" customHeight="false" outlineLevel="0" collapsed="false">
      <c r="A53" s="20" t="str">
        <f aca="false">IF(B53="","",7)</f>
        <v/>
      </c>
      <c r="B53" s="21" t="str">
        <f aca="false" t="array" ref="B53:B53">IFERROR(INDEX(Заказы!$A$3:$A$29,SMALL(IF(Заказы!$D$3:$D$29&gt;0,ROW(Заказы!$D$3:$D$29)-ROW(D$3)+1),7)),"")</f>
        <v/>
      </c>
      <c r="C53" s="20" t="str">
        <f aca="false">IF(B53="","",INDEX(Заказы!$D$3:$D$29,MATCH(B53,Заказы!$A$3:$A$29,0)))</f>
        <v/>
      </c>
      <c r="D53" s="20" t="str">
        <f aca="false">IF(B53="","",VLOOKUP(B53,Каталог!$A:$C,2,0))</f>
        <v/>
      </c>
      <c r="E53" s="22" t="str">
        <f aca="false">IF(B53="","",VLOOKUP(B53,Каталог!$A:$C,3,0))</f>
        <v/>
      </c>
      <c r="F53" s="22" t="str">
        <f aca="false">IF(B53="","",C53*E53)</f>
        <v/>
      </c>
      <c r="H53" s="20" t="str">
        <f aca="false">IF(I53="","",7)</f>
        <v/>
      </c>
      <c r="I53" s="21" t="str">
        <f aca="false" t="array" ref="I53:I53">IFERROR(INDEX(Заказы!$A$3:$A$29,SMALL(IF(Заказы!$E$3:$E$29&gt;0,ROW(Заказы!$E$3:$E$29)-ROW(E$3)+1),7)),"")</f>
        <v/>
      </c>
      <c r="J53" s="20" t="str">
        <f aca="false">IF(I53="","",INDEX(Заказы!$E$3:$E$29,MATCH(I53,Заказы!$A$3:$A$29,0)))</f>
        <v/>
      </c>
      <c r="K53" s="20" t="str">
        <f aca="false">IF(I53="","",VLOOKUP(I53,Каталог!$A:$C,2,0))</f>
        <v/>
      </c>
      <c r="L53" s="22" t="str">
        <f aca="false">IF(I53="","",VLOOKUP(I53,Каталог!$A:$C,3,0))</f>
        <v/>
      </c>
      <c r="M53" s="22" t="str">
        <f aca="false">IF(I53="","",J53*L53)</f>
        <v/>
      </c>
    </row>
    <row r="54" customFormat="false" ht="15" hidden="false" customHeight="false" outlineLevel="0" collapsed="false">
      <c r="A54" s="20" t="str">
        <f aca="false">IF(B54="","",8)</f>
        <v/>
      </c>
      <c r="B54" s="21" t="str">
        <f aca="false" t="array" ref="B54:B54">IFERROR(INDEX(Заказы!$A$3:$A$29,SMALL(IF(Заказы!$D$3:$D$29&gt;0,ROW(Заказы!$D$3:$D$29)-ROW(D$3)+1),8)),"")</f>
        <v/>
      </c>
      <c r="C54" s="20" t="str">
        <f aca="false">IF(B54="","",INDEX(Заказы!$D$3:$D$29,MATCH(B54,Заказы!$A$3:$A$29,0)))</f>
        <v/>
      </c>
      <c r="D54" s="20" t="str">
        <f aca="false">IF(B54="","",VLOOKUP(B54,Каталог!$A:$C,2,0))</f>
        <v/>
      </c>
      <c r="E54" s="22" t="str">
        <f aca="false">IF(B54="","",VLOOKUP(B54,Каталог!$A:$C,3,0))</f>
        <v/>
      </c>
      <c r="F54" s="22" t="str">
        <f aca="false">IF(B54="","",C54*E54)</f>
        <v/>
      </c>
      <c r="H54" s="20" t="str">
        <f aca="false">IF(I54="","",8)</f>
        <v/>
      </c>
      <c r="I54" s="21" t="str">
        <f aca="false" t="array" ref="I54:I54">IFERROR(INDEX(Заказы!$A$3:$A$29,SMALL(IF(Заказы!$E$3:$E$29&gt;0,ROW(Заказы!$E$3:$E$29)-ROW(E$3)+1),8)),"")</f>
        <v/>
      </c>
      <c r="J54" s="20" t="str">
        <f aca="false">IF(I54="","",INDEX(Заказы!$E$3:$E$29,MATCH(I54,Заказы!$A$3:$A$29,0)))</f>
        <v/>
      </c>
      <c r="K54" s="20" t="str">
        <f aca="false">IF(I54="","",VLOOKUP(I54,Каталог!$A:$C,2,0))</f>
        <v/>
      </c>
      <c r="L54" s="22" t="str">
        <f aca="false">IF(I54="","",VLOOKUP(I54,Каталог!$A:$C,3,0))</f>
        <v/>
      </c>
      <c r="M54" s="22" t="str">
        <f aca="false">IF(I54="","",J54*L54)</f>
        <v/>
      </c>
    </row>
    <row r="55" customFormat="false" ht="15" hidden="false" customHeight="false" outlineLevel="0" collapsed="false">
      <c r="A55" s="20" t="str">
        <f aca="false">IF(B55="","",9)</f>
        <v/>
      </c>
      <c r="B55" s="21" t="str">
        <f aca="false" t="array" ref="B55:B55">IFERROR(INDEX(Заказы!$A$3:$A$29,SMALL(IF(Заказы!$D$3:$D$29&gt;0,ROW(Заказы!$D$3:$D$29)-ROW(D$3)+1),9)),"")</f>
        <v/>
      </c>
      <c r="C55" s="20" t="str">
        <f aca="false">IF(B55="","",INDEX(Заказы!$D$3:$D$29,MATCH(B55,Заказы!$A$3:$A$29,0)))</f>
        <v/>
      </c>
      <c r="D55" s="20" t="str">
        <f aca="false">IF(B55="","",VLOOKUP(B55,Каталог!$A:$C,2,0))</f>
        <v/>
      </c>
      <c r="E55" s="22" t="str">
        <f aca="false">IF(B55="","",VLOOKUP(B55,Каталог!$A:$C,3,0))</f>
        <v/>
      </c>
      <c r="F55" s="22" t="str">
        <f aca="false">IF(B55="","",C55*E55)</f>
        <v/>
      </c>
      <c r="H55" s="20" t="str">
        <f aca="false">IF(I55="","",9)</f>
        <v/>
      </c>
      <c r="I55" s="21" t="str">
        <f aca="false" t="array" ref="I55:I55">IFERROR(INDEX(Заказы!$A$3:$A$29,SMALL(IF(Заказы!$E$3:$E$29&gt;0,ROW(Заказы!$E$3:$E$29)-ROW(E$3)+1),9)),"")</f>
        <v/>
      </c>
      <c r="J55" s="20" t="str">
        <f aca="false">IF(I55="","",INDEX(Заказы!$E$3:$E$29,MATCH(I55,Заказы!$A$3:$A$29,0)))</f>
        <v/>
      </c>
      <c r="K55" s="20" t="str">
        <f aca="false">IF(I55="","",VLOOKUP(I55,Каталог!$A:$C,2,0))</f>
        <v/>
      </c>
      <c r="L55" s="22" t="str">
        <f aca="false">IF(I55="","",VLOOKUP(I55,Каталог!$A:$C,3,0))</f>
        <v/>
      </c>
      <c r="M55" s="22" t="str">
        <f aca="false">IF(I55="","",J55*L55)</f>
        <v/>
      </c>
    </row>
    <row r="56" customFormat="false" ht="15" hidden="false" customHeight="false" outlineLevel="0" collapsed="false">
      <c r="A56" s="20" t="str">
        <f aca="false">IF(B56="","",10)</f>
        <v/>
      </c>
      <c r="B56" s="21" t="str">
        <f aca="false" t="array" ref="B56:B56">IFERROR(INDEX(Заказы!$A$3:$A$29,SMALL(IF(Заказы!$D$3:$D$29&gt;0,ROW(Заказы!$D$3:$D$29)-ROW(D$3)+1),10)),"")</f>
        <v/>
      </c>
      <c r="C56" s="20" t="str">
        <f aca="false">IF(B56="","",INDEX(Заказы!$D$3:$D$29,MATCH(B56,Заказы!$A$3:$A$29,0)))</f>
        <v/>
      </c>
      <c r="D56" s="20" t="str">
        <f aca="false">IF(B56="","",VLOOKUP(B56,Каталог!$A:$C,2,0))</f>
        <v/>
      </c>
      <c r="E56" s="22" t="str">
        <f aca="false">IF(B56="","",VLOOKUP(B56,Каталог!$A:$C,3,0))</f>
        <v/>
      </c>
      <c r="F56" s="22" t="str">
        <f aca="false">IF(B56="","",C56*E56)</f>
        <v/>
      </c>
      <c r="H56" s="20" t="str">
        <f aca="false">IF(I56="","",10)</f>
        <v/>
      </c>
      <c r="I56" s="21" t="str">
        <f aca="false" t="array" ref="I56:I56">IFERROR(INDEX(Заказы!$A$3:$A$29,SMALL(IF(Заказы!$E$3:$E$29&gt;0,ROW(Заказы!$E$3:$E$29)-ROW(E$3)+1),10)),"")</f>
        <v/>
      </c>
      <c r="J56" s="20" t="str">
        <f aca="false">IF(I56="","",INDEX(Заказы!$E$3:$E$29,MATCH(I56,Заказы!$A$3:$A$29,0)))</f>
        <v/>
      </c>
      <c r="K56" s="20" t="str">
        <f aca="false">IF(I56="","",VLOOKUP(I56,Каталог!$A:$C,2,0))</f>
        <v/>
      </c>
      <c r="L56" s="22" t="str">
        <f aca="false">IF(I56="","",VLOOKUP(I56,Каталог!$A:$C,3,0))</f>
        <v/>
      </c>
      <c r="M56" s="22" t="str">
        <f aca="false">IF(I56="","",J56*L56)</f>
        <v/>
      </c>
    </row>
    <row r="57" customFormat="false" ht="15" hidden="false" customHeight="false" outlineLevel="0" collapsed="false">
      <c r="A57" s="20" t="str">
        <f aca="false">IF(B57="","",11)</f>
        <v/>
      </c>
      <c r="B57" s="21" t="str">
        <f aca="false" t="array" ref="B57:B57">IFERROR(INDEX(Заказы!$A$3:$A$29,SMALL(IF(Заказы!$D$3:$D$29&gt;0,ROW(Заказы!$D$3:$D$29)-ROW(D$3)+1),11)),"")</f>
        <v/>
      </c>
      <c r="C57" s="20" t="str">
        <f aca="false">IF(B57="","",INDEX(Заказы!$D$3:$D$29,MATCH(B57,Заказы!$A$3:$A$29,0)))</f>
        <v/>
      </c>
      <c r="D57" s="20" t="str">
        <f aca="false">IF(B57="","",VLOOKUP(B57,Каталог!$A:$C,2,0))</f>
        <v/>
      </c>
      <c r="E57" s="22" t="str">
        <f aca="false">IF(B57="","",VLOOKUP(B57,Каталог!$A:$C,3,0))</f>
        <v/>
      </c>
      <c r="F57" s="22" t="str">
        <f aca="false">IF(B57="","",C57*E57)</f>
        <v/>
      </c>
      <c r="H57" s="20" t="str">
        <f aca="false">IF(I57="","",11)</f>
        <v/>
      </c>
      <c r="I57" s="21" t="str">
        <f aca="false" t="array" ref="I57:I57">IFERROR(INDEX(Заказы!$A$3:$A$29,SMALL(IF(Заказы!$E$3:$E$29&gt;0,ROW(Заказы!$E$3:$E$29)-ROW(E$3)+1),11)),"")</f>
        <v/>
      </c>
      <c r="J57" s="20" t="str">
        <f aca="false">IF(I57="","",INDEX(Заказы!$E$3:$E$29,MATCH(I57,Заказы!$A$3:$A$29,0)))</f>
        <v/>
      </c>
      <c r="K57" s="20" t="str">
        <f aca="false">IF(I57="","",VLOOKUP(I57,Каталог!$A:$C,2,0))</f>
        <v/>
      </c>
      <c r="L57" s="22" t="str">
        <f aca="false">IF(I57="","",VLOOKUP(I57,Каталог!$A:$C,3,0))</f>
        <v/>
      </c>
      <c r="M57" s="22" t="str">
        <f aca="false">IF(I57="","",J57*L57)</f>
        <v/>
      </c>
    </row>
    <row r="58" customFormat="false" ht="15" hidden="false" customHeight="false" outlineLevel="0" collapsed="false">
      <c r="A58" s="20" t="str">
        <f aca="false">IF(B58="","",12)</f>
        <v/>
      </c>
      <c r="B58" s="21" t="str">
        <f aca="false" t="array" ref="B58:B58">IFERROR(INDEX(Заказы!$A$3:$A$29,SMALL(IF(Заказы!$D$3:$D$29&gt;0,ROW(Заказы!$D$3:$D$29)-ROW(D$3)+1),12)),"")</f>
        <v/>
      </c>
      <c r="C58" s="20" t="str">
        <f aca="false">IF(B58="","",INDEX(Заказы!$D$3:$D$29,MATCH(B58,Заказы!$A$3:$A$29,0)))</f>
        <v/>
      </c>
      <c r="D58" s="20" t="str">
        <f aca="false">IF(B58="","",VLOOKUP(B58,Каталог!$A:$C,2,0))</f>
        <v/>
      </c>
      <c r="E58" s="22" t="str">
        <f aca="false">IF(B58="","",VLOOKUP(B58,Каталог!$A:$C,3,0))</f>
        <v/>
      </c>
      <c r="F58" s="22" t="str">
        <f aca="false">IF(B58="","",C58*E58)</f>
        <v/>
      </c>
      <c r="H58" s="20" t="str">
        <f aca="false">IF(I58="","",12)</f>
        <v/>
      </c>
      <c r="I58" s="21" t="str">
        <f aca="false" t="array" ref="I58:I58">IFERROR(INDEX(Заказы!$A$3:$A$29,SMALL(IF(Заказы!$E$3:$E$29&gt;0,ROW(Заказы!$E$3:$E$29)-ROW(E$3)+1),12)),"")</f>
        <v/>
      </c>
      <c r="J58" s="20" t="str">
        <f aca="false">IF(I58="","",INDEX(Заказы!$E$3:$E$29,MATCH(I58,Заказы!$A$3:$A$29,0)))</f>
        <v/>
      </c>
      <c r="K58" s="20" t="str">
        <f aca="false">IF(I58="","",VLOOKUP(I58,Каталог!$A:$C,2,0))</f>
        <v/>
      </c>
      <c r="L58" s="22" t="str">
        <f aca="false">IF(I58="","",VLOOKUP(I58,Каталог!$A:$C,3,0))</f>
        <v/>
      </c>
      <c r="M58" s="22" t="str">
        <f aca="false">IF(I58="","",J58*L58)</f>
        <v/>
      </c>
    </row>
    <row r="59" customFormat="false" ht="15" hidden="false" customHeight="false" outlineLevel="0" collapsed="false">
      <c r="A59" s="20" t="str">
        <f aca="false">IF(B59="","",13)</f>
        <v/>
      </c>
      <c r="B59" s="21" t="str">
        <f aca="false" t="array" ref="B59:B59">IFERROR(INDEX(Заказы!$A$3:$A$29,SMALL(IF(Заказы!$D$3:$D$29&gt;0,ROW(Заказы!$D$3:$D$29)-ROW(D$3)+1),13)),"")</f>
        <v/>
      </c>
      <c r="C59" s="20" t="str">
        <f aca="false">IF(B59="","",INDEX(Заказы!$D$3:$D$29,MATCH(B59,Заказы!$A$3:$A$29,0)))</f>
        <v/>
      </c>
      <c r="D59" s="20" t="str">
        <f aca="false">IF(B59="","",VLOOKUP(B59,Каталог!$A:$C,2,0))</f>
        <v/>
      </c>
      <c r="E59" s="22" t="str">
        <f aca="false">IF(B59="","",VLOOKUP(B59,Каталог!$A:$C,3,0))</f>
        <v/>
      </c>
      <c r="F59" s="22" t="str">
        <f aca="false">IF(B59="","",C59*E59)</f>
        <v/>
      </c>
      <c r="H59" s="20" t="str">
        <f aca="false">IF(I59="","",13)</f>
        <v/>
      </c>
      <c r="I59" s="21" t="str">
        <f aca="false" t="array" ref="I59:I59">IFERROR(INDEX(Заказы!$A$3:$A$29,SMALL(IF(Заказы!$E$3:$E$29&gt;0,ROW(Заказы!$E$3:$E$29)-ROW(E$3)+1),13)),"")</f>
        <v/>
      </c>
      <c r="J59" s="20" t="str">
        <f aca="false">IF(I59="","",INDEX(Заказы!$E$3:$E$29,MATCH(I59,Заказы!$A$3:$A$29,0)))</f>
        <v/>
      </c>
      <c r="K59" s="20" t="str">
        <f aca="false">IF(I59="","",VLOOKUP(I59,Каталог!$A:$C,2,0))</f>
        <v/>
      </c>
      <c r="L59" s="22" t="str">
        <f aca="false">IF(I59="","",VLOOKUP(I59,Каталог!$A:$C,3,0))</f>
        <v/>
      </c>
      <c r="M59" s="22" t="str">
        <f aca="false">IF(I59="","",J59*L59)</f>
        <v/>
      </c>
    </row>
    <row r="60" customFormat="false" ht="15" hidden="false" customHeight="false" outlineLevel="0" collapsed="false">
      <c r="A60" s="20" t="str">
        <f aca="false">IF(B60="","",14)</f>
        <v/>
      </c>
      <c r="B60" s="21" t="str">
        <f aca="false" t="array" ref="B60:B60">IFERROR(INDEX(Заказы!$A$3:$A$29,SMALL(IF(Заказы!$D$3:$D$29&gt;0,ROW(Заказы!$D$3:$D$29)-ROW(D$3)+1),14)),"")</f>
        <v/>
      </c>
      <c r="C60" s="20" t="str">
        <f aca="false">IF(B60="","",INDEX(Заказы!$D$3:$D$29,MATCH(B60,Заказы!$A$3:$A$29,0)))</f>
        <v/>
      </c>
      <c r="D60" s="20" t="str">
        <f aca="false">IF(B60="","",VLOOKUP(B60,Каталог!$A:$C,2,0))</f>
        <v/>
      </c>
      <c r="E60" s="22" t="str">
        <f aca="false">IF(B60="","",VLOOKUP(B60,Каталог!$A:$C,3,0))</f>
        <v/>
      </c>
      <c r="F60" s="22" t="str">
        <f aca="false">IF(B60="","",C60*E60)</f>
        <v/>
      </c>
      <c r="H60" s="20" t="str">
        <f aca="false">IF(I60="","",14)</f>
        <v/>
      </c>
      <c r="I60" s="21" t="str">
        <f aca="false" t="array" ref="I60:I60">IFERROR(INDEX(Заказы!$A$3:$A$29,SMALL(IF(Заказы!$E$3:$E$29&gt;0,ROW(Заказы!$E$3:$E$29)-ROW(E$3)+1),14)),"")</f>
        <v/>
      </c>
      <c r="J60" s="20" t="str">
        <f aca="false">IF(I60="","",INDEX(Заказы!$E$3:$E$29,MATCH(I60,Заказы!$A$3:$A$29,0)))</f>
        <v/>
      </c>
      <c r="K60" s="20" t="str">
        <f aca="false">IF(I60="","",VLOOKUP(I60,Каталог!$A:$C,2,0))</f>
        <v/>
      </c>
      <c r="L60" s="22" t="str">
        <f aca="false">IF(I60="","",VLOOKUP(I60,Каталог!$A:$C,3,0))</f>
        <v/>
      </c>
      <c r="M60" s="22" t="str">
        <f aca="false">IF(I60="","",J60*L60)</f>
        <v/>
      </c>
    </row>
    <row r="61" customFormat="false" ht="15" hidden="false" customHeight="false" outlineLevel="0" collapsed="false">
      <c r="A61" s="20" t="str">
        <f aca="false">IF(B61="","",15)</f>
        <v/>
      </c>
      <c r="B61" s="21" t="str">
        <f aca="false" t="array" ref="B61:B61">IFERROR(INDEX(Заказы!$A$3:$A$29,SMALL(IF(Заказы!$D$3:$D$29&gt;0,ROW(Заказы!$D$3:$D$29)-ROW(D$3)+1),15)),"")</f>
        <v/>
      </c>
      <c r="C61" s="20" t="str">
        <f aca="false">IF(B61="","",INDEX(Заказы!$D$3:$D$29,MATCH(B61,Заказы!$A$3:$A$29,0)))</f>
        <v/>
      </c>
      <c r="D61" s="20" t="str">
        <f aca="false">IF(B61="","",VLOOKUP(B61,Каталог!$A:$C,2,0))</f>
        <v/>
      </c>
      <c r="E61" s="22" t="str">
        <f aca="false">IF(B61="","",VLOOKUP(B61,Каталог!$A:$C,3,0))</f>
        <v/>
      </c>
      <c r="F61" s="22" t="str">
        <f aca="false">IF(B61="","",C61*E61)</f>
        <v/>
      </c>
      <c r="H61" s="20" t="str">
        <f aca="false">IF(I61="","",15)</f>
        <v/>
      </c>
      <c r="I61" s="21" t="str">
        <f aca="false" t="array" ref="I61:I61">IFERROR(INDEX(Заказы!$A$3:$A$29,SMALL(IF(Заказы!$E$3:$E$29&gt;0,ROW(Заказы!$E$3:$E$29)-ROW(E$3)+1),15)),"")</f>
        <v/>
      </c>
      <c r="J61" s="20" t="str">
        <f aca="false">IF(I61="","",INDEX(Заказы!$E$3:$E$29,MATCH(I61,Заказы!$A$3:$A$29,0)))</f>
        <v/>
      </c>
      <c r="K61" s="20" t="str">
        <f aca="false">IF(I61="","",VLOOKUP(I61,Каталог!$A:$C,2,0))</f>
        <v/>
      </c>
      <c r="L61" s="22" t="str">
        <f aca="false">IF(I61="","",VLOOKUP(I61,Каталог!$A:$C,3,0))</f>
        <v/>
      </c>
      <c r="M61" s="22" t="str">
        <f aca="false">IF(I61="","",J61*L61)</f>
        <v/>
      </c>
    </row>
    <row r="62" customFormat="false" ht="15" hidden="false" customHeight="false" outlineLevel="0" collapsed="false">
      <c r="A62" s="20" t="str">
        <f aca="false">IF(B62="","",16)</f>
        <v/>
      </c>
      <c r="B62" s="21" t="str">
        <f aca="false" t="array" ref="B62:B62">IFERROR(INDEX(Заказы!$A$3:$A$29,SMALL(IF(Заказы!$D$3:$D$29&gt;0,ROW(Заказы!$D$3:$D$29)-ROW(D$3)+1),16)),"")</f>
        <v/>
      </c>
      <c r="C62" s="20" t="str">
        <f aca="false">IF(B62="","",INDEX(Заказы!$D$3:$D$29,MATCH(B62,Заказы!$A$3:$A$29,0)))</f>
        <v/>
      </c>
      <c r="D62" s="20" t="str">
        <f aca="false">IF(B62="","",VLOOKUP(B62,Каталог!$A:$C,2,0))</f>
        <v/>
      </c>
      <c r="E62" s="22" t="str">
        <f aca="false">IF(B62="","",VLOOKUP(B62,Каталог!$A:$C,3,0))</f>
        <v/>
      </c>
      <c r="F62" s="22" t="str">
        <f aca="false">IF(B62="","",C62*E62)</f>
        <v/>
      </c>
      <c r="H62" s="20" t="str">
        <f aca="false">IF(I62="","",16)</f>
        <v/>
      </c>
      <c r="I62" s="21" t="str">
        <f aca="false" t="array" ref="I62:I62">IFERROR(INDEX(Заказы!$A$3:$A$29,SMALL(IF(Заказы!$E$3:$E$29&gt;0,ROW(Заказы!$E$3:$E$29)-ROW(E$3)+1),16)),"")</f>
        <v/>
      </c>
      <c r="J62" s="20" t="str">
        <f aca="false">IF(I62="","",INDEX(Заказы!$E$3:$E$29,MATCH(I62,Заказы!$A$3:$A$29,0)))</f>
        <v/>
      </c>
      <c r="K62" s="20" t="str">
        <f aca="false">IF(I62="","",VLOOKUP(I62,Каталог!$A:$C,2,0))</f>
        <v/>
      </c>
      <c r="L62" s="22" t="str">
        <f aca="false">IF(I62="","",VLOOKUP(I62,Каталог!$A:$C,3,0))</f>
        <v/>
      </c>
      <c r="M62" s="22" t="str">
        <f aca="false">IF(I62="","",J62*L62)</f>
        <v/>
      </c>
    </row>
    <row r="63" customFormat="false" ht="15" hidden="false" customHeight="false" outlineLevel="0" collapsed="false">
      <c r="A63" s="20" t="str">
        <f aca="false">IF(B63="","",17)</f>
        <v/>
      </c>
      <c r="B63" s="21" t="str">
        <f aca="false" t="array" ref="B63:B63">IFERROR(INDEX(Заказы!$A$3:$A$29,SMALL(IF(Заказы!$D$3:$D$29&gt;0,ROW(Заказы!$D$3:$D$29)-ROW(D$3)+1),17)),"")</f>
        <v/>
      </c>
      <c r="C63" s="20" t="str">
        <f aca="false">IF(B63="","",INDEX(Заказы!$D$3:$D$29,MATCH(B63,Заказы!$A$3:$A$29,0)))</f>
        <v/>
      </c>
      <c r="D63" s="20" t="str">
        <f aca="false">IF(B63="","",VLOOKUP(B63,Каталог!$A:$C,2,0))</f>
        <v/>
      </c>
      <c r="E63" s="22" t="str">
        <f aca="false">IF(B63="","",VLOOKUP(B63,Каталог!$A:$C,3,0))</f>
        <v/>
      </c>
      <c r="F63" s="22" t="str">
        <f aca="false">IF(B63="","",C63*E63)</f>
        <v/>
      </c>
      <c r="H63" s="20" t="str">
        <f aca="false">IF(I63="","",17)</f>
        <v/>
      </c>
      <c r="I63" s="21" t="str">
        <f aca="false" t="array" ref="I63:I63">IFERROR(INDEX(Заказы!$A$3:$A$29,SMALL(IF(Заказы!$E$3:$E$29&gt;0,ROW(Заказы!$E$3:$E$29)-ROW(E$3)+1),17)),"")</f>
        <v/>
      </c>
      <c r="J63" s="20" t="str">
        <f aca="false">IF(I63="","",INDEX(Заказы!$E$3:$E$29,MATCH(I63,Заказы!$A$3:$A$29,0)))</f>
        <v/>
      </c>
      <c r="K63" s="20" t="str">
        <f aca="false">IF(I63="","",VLOOKUP(I63,Каталог!$A:$C,2,0))</f>
        <v/>
      </c>
      <c r="L63" s="22" t="str">
        <f aca="false">IF(I63="","",VLOOKUP(I63,Каталог!$A:$C,3,0))</f>
        <v/>
      </c>
      <c r="M63" s="22" t="str">
        <f aca="false">IF(I63="","",J63*L63)</f>
        <v/>
      </c>
    </row>
    <row r="64" customFormat="false" ht="15" hidden="false" customHeight="false" outlineLevel="0" collapsed="false">
      <c r="A64" s="20" t="str">
        <f aca="false">IF(B64="","",18)</f>
        <v/>
      </c>
      <c r="B64" s="21" t="str">
        <f aca="false" t="array" ref="B64:B64">IFERROR(INDEX(Заказы!$A$3:$A$29,SMALL(IF(Заказы!$D$3:$D$29&gt;0,ROW(Заказы!$D$3:$D$29)-ROW(D$3)+1),18)),"")</f>
        <v/>
      </c>
      <c r="C64" s="20" t="str">
        <f aca="false">IF(B64="","",INDEX(Заказы!$D$3:$D$29,MATCH(B64,Заказы!$A$3:$A$29,0)))</f>
        <v/>
      </c>
      <c r="D64" s="20" t="str">
        <f aca="false">IF(B64="","",VLOOKUP(B64,Каталог!$A:$C,2,0))</f>
        <v/>
      </c>
      <c r="E64" s="22" t="str">
        <f aca="false">IF(B64="","",VLOOKUP(B64,Каталог!$A:$C,3,0))</f>
        <v/>
      </c>
      <c r="F64" s="22" t="str">
        <f aca="false">IF(B64="","",C64*E64)</f>
        <v/>
      </c>
      <c r="H64" s="20" t="str">
        <f aca="false">IF(I64="","",18)</f>
        <v/>
      </c>
      <c r="I64" s="21" t="str">
        <f aca="false" t="array" ref="I64:I64">IFERROR(INDEX(Заказы!$A$3:$A$29,SMALL(IF(Заказы!$E$3:$E$29&gt;0,ROW(Заказы!$E$3:$E$29)-ROW(E$3)+1),18)),"")</f>
        <v/>
      </c>
      <c r="J64" s="20" t="str">
        <f aca="false">IF(I64="","",INDEX(Заказы!$E$3:$E$29,MATCH(I64,Заказы!$A$3:$A$29,0)))</f>
        <v/>
      </c>
      <c r="K64" s="20" t="str">
        <f aca="false">IF(I64="","",VLOOKUP(I64,Каталог!$A:$C,2,0))</f>
        <v/>
      </c>
      <c r="L64" s="22" t="str">
        <f aca="false">IF(I64="","",VLOOKUP(I64,Каталог!$A:$C,3,0))</f>
        <v/>
      </c>
      <c r="M64" s="22" t="str">
        <f aca="false">IF(I64="","",J64*L64)</f>
        <v/>
      </c>
    </row>
    <row r="65" customFormat="false" ht="15" hidden="false" customHeight="false" outlineLevel="0" collapsed="false">
      <c r="A65" s="20" t="str">
        <f aca="false">IF(B65="","",19)</f>
        <v/>
      </c>
      <c r="B65" s="21" t="str">
        <f aca="false" t="array" ref="B65:B65">IFERROR(INDEX(Заказы!$A$3:$A$29,SMALL(IF(Заказы!$D$3:$D$29&gt;0,ROW(Заказы!$D$3:$D$29)-ROW(D$3)+1),19)),"")</f>
        <v/>
      </c>
      <c r="C65" s="20" t="str">
        <f aca="false">IF(B65="","",INDEX(Заказы!$D$3:$D$29,MATCH(B65,Заказы!$A$3:$A$29,0)))</f>
        <v/>
      </c>
      <c r="D65" s="20" t="str">
        <f aca="false">IF(B65="","",VLOOKUP(B65,Каталог!$A:$C,2,0))</f>
        <v/>
      </c>
      <c r="E65" s="22" t="str">
        <f aca="false">IF(B65="","",VLOOKUP(B65,Каталог!$A:$C,3,0))</f>
        <v/>
      </c>
      <c r="F65" s="22" t="str">
        <f aca="false">IF(B65="","",C65*E65)</f>
        <v/>
      </c>
      <c r="H65" s="20" t="str">
        <f aca="false">IF(I65="","",19)</f>
        <v/>
      </c>
      <c r="I65" s="21" t="str">
        <f aca="false" t="array" ref="I65:I65">IFERROR(INDEX(Заказы!$A$3:$A$29,SMALL(IF(Заказы!$E$3:$E$29&gt;0,ROW(Заказы!$E$3:$E$29)-ROW(E$3)+1),19)),"")</f>
        <v/>
      </c>
      <c r="J65" s="20" t="str">
        <f aca="false">IF(I65="","",INDEX(Заказы!$E$3:$E$29,MATCH(I65,Заказы!$A$3:$A$29,0)))</f>
        <v/>
      </c>
      <c r="K65" s="20" t="str">
        <f aca="false">IF(I65="","",VLOOKUP(I65,Каталог!$A:$C,2,0))</f>
        <v/>
      </c>
      <c r="L65" s="22" t="str">
        <f aca="false">IF(I65="","",VLOOKUP(I65,Каталог!$A:$C,3,0))</f>
        <v/>
      </c>
      <c r="M65" s="22" t="str">
        <f aca="false">IF(I65="","",J65*L65)</f>
        <v/>
      </c>
    </row>
    <row r="66" customFormat="false" ht="15" hidden="false" customHeight="false" outlineLevel="0" collapsed="false">
      <c r="A66" s="20" t="str">
        <f aca="false">IF(B66="","",20)</f>
        <v/>
      </c>
      <c r="B66" s="21" t="str">
        <f aca="false" t="array" ref="B66:B66">IFERROR(INDEX(Заказы!$A$3:$A$29,SMALL(IF(Заказы!$D$3:$D$29&gt;0,ROW(Заказы!$D$3:$D$29)-ROW(D$3)+1),20)),"")</f>
        <v/>
      </c>
      <c r="C66" s="20" t="str">
        <f aca="false">IF(B66="","",INDEX(Заказы!$D$3:$D$29,MATCH(B66,Заказы!$A$3:$A$29,0)))</f>
        <v/>
      </c>
      <c r="D66" s="20" t="str">
        <f aca="false">IF(B66="","",VLOOKUP(B66,Каталог!$A:$C,2,0))</f>
        <v/>
      </c>
      <c r="E66" s="22" t="str">
        <f aca="false">IF(B66="","",VLOOKUP(B66,Каталог!$A:$C,3,0))</f>
        <v/>
      </c>
      <c r="F66" s="22" t="str">
        <f aca="false">IF(B66="","",C66*E66)</f>
        <v/>
      </c>
      <c r="H66" s="20" t="str">
        <f aca="false">IF(I66="","",20)</f>
        <v/>
      </c>
      <c r="I66" s="21" t="str">
        <f aca="false" t="array" ref="I66:I66">IFERROR(INDEX(Заказы!$A$3:$A$29,SMALL(IF(Заказы!$E$3:$E$29&gt;0,ROW(Заказы!$E$3:$E$29)-ROW(E$3)+1),20)),"")</f>
        <v/>
      </c>
      <c r="J66" s="20" t="str">
        <f aca="false">IF(I66="","",INDEX(Заказы!$E$3:$E$29,MATCH(I66,Заказы!$A$3:$A$29,0)))</f>
        <v/>
      </c>
      <c r="K66" s="20" t="str">
        <f aca="false">IF(I66="","",VLOOKUP(I66,Каталог!$A:$C,2,0))</f>
        <v/>
      </c>
      <c r="L66" s="22" t="str">
        <f aca="false">IF(I66="","",VLOOKUP(I66,Каталог!$A:$C,3,0))</f>
        <v/>
      </c>
      <c r="M66" s="22" t="str">
        <f aca="false">IF(I66="","",J66*L66)</f>
        <v/>
      </c>
    </row>
    <row r="67" customFormat="false" ht="15" hidden="false" customHeight="false" outlineLevel="0" collapsed="false">
      <c r="A67" s="20" t="str">
        <f aca="false">IF(B67="","",21)</f>
        <v/>
      </c>
      <c r="B67" s="21" t="str">
        <f aca="false" t="array" ref="B67:B67">IFERROR(INDEX(Заказы!$A$3:$A$29,SMALL(IF(Заказы!$D$3:$D$29&gt;0,ROW(Заказы!$D$3:$D$29)-ROW(D$3)+1),21)),"")</f>
        <v/>
      </c>
      <c r="C67" s="20" t="str">
        <f aca="false">IF(B67="","",INDEX(Заказы!$D$3:$D$29,MATCH(B67,Заказы!$A$3:$A$29,0)))</f>
        <v/>
      </c>
      <c r="D67" s="20" t="str">
        <f aca="false">IF(B67="","",VLOOKUP(B67,Каталог!$A:$C,2,0))</f>
        <v/>
      </c>
      <c r="E67" s="22" t="str">
        <f aca="false">IF(B67="","",VLOOKUP(B67,Каталог!$A:$C,3,0))</f>
        <v/>
      </c>
      <c r="F67" s="22" t="str">
        <f aca="false">IF(B67="","",C67*E67)</f>
        <v/>
      </c>
      <c r="H67" s="20" t="str">
        <f aca="false">IF(I67="","",21)</f>
        <v/>
      </c>
      <c r="I67" s="21" t="str">
        <f aca="false" t="array" ref="I67:I67">IFERROR(INDEX(Заказы!$A$3:$A$29,SMALL(IF(Заказы!$E$3:$E$29&gt;0,ROW(Заказы!$E$3:$E$29)-ROW(E$3)+1),21)),"")</f>
        <v/>
      </c>
      <c r="J67" s="20" t="str">
        <f aca="false">IF(I67="","",INDEX(Заказы!$E$3:$E$29,MATCH(I67,Заказы!$A$3:$A$29,0)))</f>
        <v/>
      </c>
      <c r="K67" s="20" t="str">
        <f aca="false">IF(I67="","",VLOOKUP(I67,Каталог!$A:$C,2,0))</f>
        <v/>
      </c>
      <c r="L67" s="22" t="str">
        <f aca="false">IF(I67="","",VLOOKUP(I67,Каталог!$A:$C,3,0))</f>
        <v/>
      </c>
      <c r="M67" s="22" t="str">
        <f aca="false">IF(I67="","",J67*L67)</f>
        <v/>
      </c>
    </row>
    <row r="68" customFormat="false" ht="15" hidden="false" customHeight="false" outlineLevel="0" collapsed="false">
      <c r="A68" s="20" t="str">
        <f aca="false">IF(B68="","",22)</f>
        <v/>
      </c>
      <c r="B68" s="21" t="str">
        <f aca="false" t="array" ref="B68:B68">IFERROR(INDEX(Заказы!$A$3:$A$29,SMALL(IF(Заказы!$D$3:$D$29&gt;0,ROW(Заказы!$D$3:$D$29)-ROW(D$3)+1),22)),"")</f>
        <v/>
      </c>
      <c r="C68" s="20" t="str">
        <f aca="false">IF(B68="","",INDEX(Заказы!$D$3:$D$29,MATCH(B68,Заказы!$A$3:$A$29,0)))</f>
        <v/>
      </c>
      <c r="D68" s="20" t="str">
        <f aca="false">IF(B68="","",VLOOKUP(B68,Каталог!$A:$C,2,0))</f>
        <v/>
      </c>
      <c r="E68" s="22" t="str">
        <f aca="false">IF(B68="","",VLOOKUP(B68,Каталог!$A:$C,3,0))</f>
        <v/>
      </c>
      <c r="F68" s="22" t="str">
        <f aca="false">IF(B68="","",C68*E68)</f>
        <v/>
      </c>
      <c r="H68" s="20" t="str">
        <f aca="false">IF(I68="","",22)</f>
        <v/>
      </c>
      <c r="I68" s="21" t="str">
        <f aca="false" t="array" ref="I68:I68">IFERROR(INDEX(Заказы!$A$3:$A$29,SMALL(IF(Заказы!$E$3:$E$29&gt;0,ROW(Заказы!$E$3:$E$29)-ROW(E$3)+1),22)),"")</f>
        <v/>
      </c>
      <c r="J68" s="20" t="str">
        <f aca="false">IF(I68="","",INDEX(Заказы!$E$3:$E$29,MATCH(I68,Заказы!$A$3:$A$29,0)))</f>
        <v/>
      </c>
      <c r="K68" s="20" t="str">
        <f aca="false">IF(I68="","",VLOOKUP(I68,Каталог!$A:$C,2,0))</f>
        <v/>
      </c>
      <c r="L68" s="22" t="str">
        <f aca="false">IF(I68="","",VLOOKUP(I68,Каталог!$A:$C,3,0))</f>
        <v/>
      </c>
      <c r="M68" s="22" t="str">
        <f aca="false">IF(I68="","",J68*L68)</f>
        <v/>
      </c>
    </row>
    <row r="69" customFormat="false" ht="15" hidden="false" customHeight="false" outlineLevel="0" collapsed="false">
      <c r="A69" s="20" t="str">
        <f aca="false">IF(B69="","",23)</f>
        <v/>
      </c>
      <c r="B69" s="21" t="str">
        <f aca="false" t="array" ref="B69:B69">IFERROR(INDEX(Заказы!$A$3:$A$29,SMALL(IF(Заказы!$D$3:$D$29&gt;0,ROW(Заказы!$D$3:$D$29)-ROW(D$3)+1),23)),"")</f>
        <v/>
      </c>
      <c r="C69" s="20" t="str">
        <f aca="false">IF(B69="","",INDEX(Заказы!$D$3:$D$29,MATCH(B69,Заказы!$A$3:$A$29,0)))</f>
        <v/>
      </c>
      <c r="D69" s="20" t="str">
        <f aca="false">IF(B69="","",VLOOKUP(B69,Каталог!$A:$C,2,0))</f>
        <v/>
      </c>
      <c r="E69" s="22" t="str">
        <f aca="false">IF(B69="","",VLOOKUP(B69,Каталог!$A:$C,3,0))</f>
        <v/>
      </c>
      <c r="F69" s="22" t="str">
        <f aca="false">IF(B69="","",C69*E69)</f>
        <v/>
      </c>
      <c r="H69" s="20" t="str">
        <f aca="false">IF(I69="","",23)</f>
        <v/>
      </c>
      <c r="I69" s="21" t="str">
        <f aca="false" t="array" ref="I69:I69">IFERROR(INDEX(Заказы!$A$3:$A$29,SMALL(IF(Заказы!$E$3:$E$29&gt;0,ROW(Заказы!$E$3:$E$29)-ROW(E$3)+1),23)),"")</f>
        <v/>
      </c>
      <c r="J69" s="20" t="str">
        <f aca="false">IF(I69="","",INDEX(Заказы!$E$3:$E$29,MATCH(I69,Заказы!$A$3:$A$29,0)))</f>
        <v/>
      </c>
      <c r="K69" s="20" t="str">
        <f aca="false">IF(I69="","",VLOOKUP(I69,Каталог!$A:$C,2,0))</f>
        <v/>
      </c>
      <c r="L69" s="22" t="str">
        <f aca="false">IF(I69="","",VLOOKUP(I69,Каталог!$A:$C,3,0))</f>
        <v/>
      </c>
      <c r="M69" s="22" t="str">
        <f aca="false">IF(I69="","",J69*L69)</f>
        <v/>
      </c>
    </row>
    <row r="70" customFormat="false" ht="15" hidden="false" customHeight="false" outlineLevel="0" collapsed="false">
      <c r="A70" s="20" t="str">
        <f aca="false">IF(B70="","",24)</f>
        <v/>
      </c>
      <c r="B70" s="21" t="str">
        <f aca="false" t="array" ref="B70:B70">IFERROR(INDEX(Заказы!$A$3:$A$29,SMALL(IF(Заказы!$D$3:$D$29&gt;0,ROW(Заказы!$D$3:$D$29)-ROW(D$3)+1),24)),"")</f>
        <v/>
      </c>
      <c r="C70" s="20" t="str">
        <f aca="false">IF(B70="","",INDEX(Заказы!$D$3:$D$29,MATCH(B70,Заказы!$A$3:$A$29,0)))</f>
        <v/>
      </c>
      <c r="D70" s="20" t="str">
        <f aca="false">IF(B70="","",VLOOKUP(B70,Каталог!$A:$C,2,0))</f>
        <v/>
      </c>
      <c r="E70" s="22" t="str">
        <f aca="false">IF(B70="","",VLOOKUP(B70,Каталог!$A:$C,3,0))</f>
        <v/>
      </c>
      <c r="F70" s="22" t="str">
        <f aca="false">IF(B70="","",C70*E70)</f>
        <v/>
      </c>
      <c r="H70" s="20" t="str">
        <f aca="false">IF(I70="","",24)</f>
        <v/>
      </c>
      <c r="I70" s="21" t="str">
        <f aca="false" t="array" ref="I70:I70">IFERROR(INDEX(Заказы!$A$3:$A$29,SMALL(IF(Заказы!$E$3:$E$29&gt;0,ROW(Заказы!$E$3:$E$29)-ROW(E$3)+1),24)),"")</f>
        <v/>
      </c>
      <c r="J70" s="20" t="str">
        <f aca="false">IF(I70="","",INDEX(Заказы!$E$3:$E$29,MATCH(I70,Заказы!$A$3:$A$29,0)))</f>
        <v/>
      </c>
      <c r="K70" s="20" t="str">
        <f aca="false">IF(I70="","",VLOOKUP(I70,Каталог!$A:$C,2,0))</f>
        <v/>
      </c>
      <c r="L70" s="22" t="str">
        <f aca="false">IF(I70="","",VLOOKUP(I70,Каталог!$A:$C,3,0))</f>
        <v/>
      </c>
      <c r="M70" s="22" t="str">
        <f aca="false">IF(I70="","",J70*L70)</f>
        <v/>
      </c>
    </row>
    <row r="71" customFormat="false" ht="15" hidden="false" customHeight="false" outlineLevel="0" collapsed="false">
      <c r="A71" s="20" t="str">
        <f aca="false">IF(B71="","",25)</f>
        <v/>
      </c>
      <c r="B71" s="21" t="str">
        <f aca="false" t="array" ref="B71:B71">IFERROR(INDEX(Заказы!$A$3:$A$29,SMALL(IF(Заказы!$D$3:$D$29&gt;0,ROW(Заказы!$D$3:$D$29)-ROW(D$3)+1),25)),"")</f>
        <v/>
      </c>
      <c r="C71" s="20" t="str">
        <f aca="false">IF(B71="","",INDEX(Заказы!$D$3:$D$29,MATCH(B71,Заказы!$A$3:$A$29,0)))</f>
        <v/>
      </c>
      <c r="D71" s="20" t="str">
        <f aca="false">IF(B71="","",VLOOKUP(B71,Каталог!$A:$C,2,0))</f>
        <v/>
      </c>
      <c r="E71" s="22" t="str">
        <f aca="false">IF(B71="","",VLOOKUP(B71,Каталог!$A:$C,3,0))</f>
        <v/>
      </c>
      <c r="F71" s="22" t="str">
        <f aca="false">IF(B71="","",C71*E71)</f>
        <v/>
      </c>
      <c r="H71" s="20" t="str">
        <f aca="false">IF(I71="","",25)</f>
        <v/>
      </c>
      <c r="I71" s="21" t="str">
        <f aca="false" t="array" ref="I71:I71">IFERROR(INDEX(Заказы!$A$3:$A$29,SMALL(IF(Заказы!$E$3:$E$29&gt;0,ROW(Заказы!$E$3:$E$29)-ROW(E$3)+1),25)),"")</f>
        <v/>
      </c>
      <c r="J71" s="20" t="str">
        <f aca="false">IF(I71="","",INDEX(Заказы!$E$3:$E$29,MATCH(I71,Заказы!$A$3:$A$29,0)))</f>
        <v/>
      </c>
      <c r="K71" s="20" t="str">
        <f aca="false">IF(I71="","",VLOOKUP(I71,Каталог!$A:$C,2,0))</f>
        <v/>
      </c>
      <c r="L71" s="22" t="str">
        <f aca="false">IF(I71="","",VLOOKUP(I71,Каталог!$A:$C,3,0))</f>
        <v/>
      </c>
      <c r="M71" s="22" t="str">
        <f aca="false">IF(I71="","",J71*L71)</f>
        <v/>
      </c>
    </row>
    <row r="72" customFormat="false" ht="15" hidden="false" customHeight="false" outlineLevel="0" collapsed="false">
      <c r="A72" s="20" t="str">
        <f aca="false">IF(B72="","",26)</f>
        <v/>
      </c>
      <c r="B72" s="21" t="str">
        <f aca="false" t="array" ref="B72:B72">IFERROR(INDEX(Заказы!$A$3:$A$29,SMALL(IF(Заказы!$D$3:$D$29&gt;0,ROW(Заказы!$D$3:$D$29)-ROW(D$3)+1),26)),"")</f>
        <v/>
      </c>
      <c r="C72" s="20" t="str">
        <f aca="false">IF(B72="","",INDEX(Заказы!$D$3:$D$29,MATCH(B72,Заказы!$A$3:$A$29,0)))</f>
        <v/>
      </c>
      <c r="D72" s="20" t="str">
        <f aca="false">IF(B72="","",VLOOKUP(B72,Каталог!$A:$C,2,0))</f>
        <v/>
      </c>
      <c r="E72" s="22" t="str">
        <f aca="false">IF(B72="","",VLOOKUP(B72,Каталог!$A:$C,3,0))</f>
        <v/>
      </c>
      <c r="F72" s="22" t="str">
        <f aca="false">IF(B72="","",C72*E72)</f>
        <v/>
      </c>
      <c r="H72" s="20" t="str">
        <f aca="false">IF(I72="","",26)</f>
        <v/>
      </c>
      <c r="I72" s="21" t="str">
        <f aca="false" t="array" ref="I72:I72">IFERROR(INDEX(Заказы!$A$3:$A$29,SMALL(IF(Заказы!$E$3:$E$29&gt;0,ROW(Заказы!$E$3:$E$29)-ROW(E$3)+1),26)),"")</f>
        <v/>
      </c>
      <c r="J72" s="20" t="str">
        <f aca="false">IF(I72="","",INDEX(Заказы!$E$3:$E$29,MATCH(I72,Заказы!$A$3:$A$29,0)))</f>
        <v/>
      </c>
      <c r="K72" s="20" t="str">
        <f aca="false">IF(I72="","",VLOOKUP(I72,Каталог!$A:$C,2,0))</f>
        <v/>
      </c>
      <c r="L72" s="22" t="str">
        <f aca="false">IF(I72="","",VLOOKUP(I72,Каталог!$A:$C,3,0))</f>
        <v/>
      </c>
      <c r="M72" s="22" t="str">
        <f aca="false">IF(I72="","",J72*L72)</f>
        <v/>
      </c>
    </row>
    <row r="73" customFormat="false" ht="15" hidden="false" customHeight="false" outlineLevel="0" collapsed="false">
      <c r="A73" s="20" t="str">
        <f aca="false">IF(B73="","",27)</f>
        <v/>
      </c>
      <c r="B73" s="21" t="str">
        <f aca="false" t="array" ref="B73:B73">IFERROR(INDEX(Заказы!$A$3:$A$29,SMALL(IF(Заказы!$D$3:$D$29&gt;0,ROW(Заказы!$D$3:$D$29)-ROW(D$3)+1),27)),"")</f>
        <v/>
      </c>
      <c r="C73" s="20" t="str">
        <f aca="false">IF(B73="","",INDEX(Заказы!$D$3:$D$29,MATCH(B73,Заказы!$A$3:$A$29,0)))</f>
        <v/>
      </c>
      <c r="D73" s="20" t="str">
        <f aca="false">IF(B73="","",VLOOKUP(B73,Каталог!$A:$C,2,0))</f>
        <v/>
      </c>
      <c r="E73" s="22" t="str">
        <f aca="false">IF(B73="","",VLOOKUP(B73,Каталог!$A:$C,3,0))</f>
        <v/>
      </c>
      <c r="F73" s="22" t="str">
        <f aca="false">IF(B73="","",C73*E73)</f>
        <v/>
      </c>
      <c r="H73" s="20" t="str">
        <f aca="false">IF(I73="","",27)</f>
        <v/>
      </c>
      <c r="I73" s="21" t="str">
        <f aca="false" t="array" ref="I73:I73">IFERROR(INDEX(Заказы!$A$3:$A$29,SMALL(IF(Заказы!$E$3:$E$29&gt;0,ROW(Заказы!$E$3:$E$29)-ROW(E$3)+1),27)),"")</f>
        <v/>
      </c>
      <c r="J73" s="20" t="str">
        <f aca="false">IF(I73="","",INDEX(Заказы!$E$3:$E$29,MATCH(I73,Заказы!$A$3:$A$29,0)))</f>
        <v/>
      </c>
      <c r="K73" s="20" t="str">
        <f aca="false">IF(I73="","",VLOOKUP(I73,Каталог!$A:$C,2,0))</f>
        <v/>
      </c>
      <c r="L73" s="22" t="str">
        <f aca="false">IF(I73="","",VLOOKUP(I73,Каталог!$A:$C,3,0))</f>
        <v/>
      </c>
      <c r="M73" s="22" t="str">
        <f aca="false">IF(I73="","",J73*L73)</f>
        <v/>
      </c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H74" s="23"/>
      <c r="I74" s="23"/>
      <c r="J74" s="23"/>
      <c r="K74" s="23"/>
      <c r="L74" s="23"/>
      <c r="M74" s="23"/>
    </row>
    <row r="75" customFormat="false" ht="15" hidden="false" customHeight="false" outlineLevel="0" collapsed="false">
      <c r="A75" s="24" t="str">
        <f aca="false">IF(COUNTIF(Заказы!$D$3:$D$29,"&gt;0")=0,"","Итого:")</f>
        <v>Итого:</v>
      </c>
      <c r="B75" s="24"/>
      <c r="C75" s="24"/>
      <c r="D75" s="24"/>
      <c r="E75" s="25" t="n">
        <f aca="false">IF(COUNTIF(Заказы!$D$3:$D$29,"&gt;0")=0,"",SUM(F47:F73))</f>
        <v>1780</v>
      </c>
      <c r="F75" s="25"/>
      <c r="H75" s="24" t="str">
        <f aca="false">IF(COUNTIF(Заказы!$E$3:$E$29,"&gt;0")=0,"","Итого:")</f>
        <v>Итого:</v>
      </c>
      <c r="I75" s="24"/>
      <c r="J75" s="24"/>
      <c r="K75" s="24"/>
      <c r="L75" s="25" t="n">
        <f aca="false">IF(COUNTIF(Заказы!$E$3:$E$29,"&gt;0")=0,"",SUM(M47:M73))</f>
        <v>890</v>
      </c>
      <c r="M75" s="25"/>
    </row>
    <row r="77" customFormat="false" ht="15" hidden="false" customHeight="false" outlineLevel="0" collapsed="false">
      <c r="A77" s="18" t="str">
        <f aca="false">IF(COUNTIF(Заказы!$D$3:$D$29,"&gt;0")=0,"","Подпись отправителя: __________________")</f>
        <v>Подпись отправителя: __________________</v>
      </c>
      <c r="B77" s="18"/>
      <c r="C77" s="18"/>
      <c r="D77" s="18"/>
      <c r="E77" s="18"/>
      <c r="F77" s="18"/>
      <c r="H77" s="18" t="str">
        <f aca="false">IF(COUNTIF(Заказы!$E$3:$E$29,"&gt;0")=0,"","Подпись отправителя: __________________")</f>
        <v>Подпись отправителя: __________________</v>
      </c>
      <c r="I77" s="18"/>
      <c r="J77" s="18"/>
      <c r="K77" s="18"/>
      <c r="L77" s="18"/>
      <c r="M77" s="18"/>
    </row>
    <row r="78" customFormat="false" ht="15" hidden="false" customHeight="false" outlineLevel="0" collapsed="false">
      <c r="A78" s="18" t="str">
        <f aca="false">IF(COUNTIF(Заказы!$D$3:$D$29,"&gt;0")=0,"","Подпись получателя: ___________________")</f>
        <v>Подпись получателя: ___________________</v>
      </c>
      <c r="B78" s="18"/>
      <c r="C78" s="18"/>
      <c r="D78" s="18"/>
      <c r="E78" s="18"/>
      <c r="F78" s="18"/>
      <c r="H78" s="18" t="str">
        <f aca="false">IF(COUNTIF(Заказы!$E$3:$E$29,"&gt;0")=0,"","Подпись получателя: ___________________")</f>
        <v>Подпись получателя: ___________________</v>
      </c>
      <c r="I78" s="18"/>
      <c r="J78" s="18"/>
      <c r="K78" s="18"/>
      <c r="L78" s="18"/>
      <c r="M78" s="18"/>
    </row>
    <row r="80" customFormat="false" ht="17.35" hidden="false" customHeight="false" outlineLevel="0" collapsed="false">
      <c r="A80" s="17" t="str">
        <f aca="false">IF(COUNTIF(Заказы!$F$3:$F$29,"&gt;0")=0,"","НАКЛАДНАЯ")</f>
        <v>НАКЛАДНАЯ</v>
      </c>
      <c r="B80" s="17"/>
      <c r="C80" s="17"/>
      <c r="D80" s="17"/>
      <c r="E80" s="17"/>
      <c r="F80" s="17"/>
      <c r="H80" s="17" t="str">
        <f aca="false">IF(COUNTIF(Заказы!$G$3:$G$29,"&gt;0")=0,"","НАКЛАДНАЯ")</f>
        <v>НАКЛАДНАЯ</v>
      </c>
      <c r="I80" s="17"/>
      <c r="J80" s="17"/>
      <c r="K80" s="17"/>
      <c r="L80" s="17"/>
      <c r="M80" s="17"/>
    </row>
    <row r="81" customFormat="false" ht="15" hidden="false" customHeight="false" outlineLevel="0" collapsed="false">
      <c r="A81" s="18" t="str">
        <f aca="false">IF(COUNTIF(Заказы!$F$3:$F$29,"&gt;0")=0,"","Отправитель: Brown кондитерский цех")</f>
        <v>Отправитель: Brown кондитерский цех</v>
      </c>
      <c r="B81" s="18"/>
      <c r="C81" s="18"/>
      <c r="D81" s="18"/>
      <c r="E81" s="18"/>
      <c r="F81" s="18"/>
      <c r="H81" s="18" t="str">
        <f aca="false">IF(COUNTIF(Заказы!$G$3:$G$29,"&gt;0")=0,"","Отправитель: Brown кондитерский цех")</f>
        <v>Отправитель: Brown кондитерский цех</v>
      </c>
      <c r="I81" s="18"/>
      <c r="J81" s="18"/>
      <c r="K81" s="18"/>
      <c r="L81" s="18"/>
      <c r="M81" s="18"/>
    </row>
    <row r="82" customFormat="false" ht="15" hidden="false" customHeight="false" outlineLevel="0" collapsed="false">
      <c r="A82" s="18" t="str">
        <f aca="false">IF(COUNTIF(Заказы!$F$3:$F$29,"&gt;0")=0,"","Получатель: "&amp;Заказы!F$2)</f>
        <v>Получатель: Алапарк</v>
      </c>
      <c r="B82" s="18"/>
      <c r="C82" s="18"/>
      <c r="D82" s="18"/>
      <c r="E82" s="18"/>
      <c r="F82" s="18"/>
      <c r="H82" s="18" t="str">
        <f aca="false">IF(COUNTIF(Заказы!$G$3:$G$29,"&gt;0")=0,"","Получатель: "&amp;Заказы!G$2)</f>
        <v>Получатель: Аксай</v>
      </c>
      <c r="I82" s="18"/>
      <c r="J82" s="18"/>
      <c r="K82" s="18"/>
      <c r="L82" s="18"/>
      <c r="M82" s="18"/>
    </row>
    <row r="83" customFormat="false" ht="15" hidden="false" customHeight="false" outlineLevel="0" collapsed="false">
      <c r="A83" s="19" t="str">
        <f aca="false">IF(COUNTIF(Заказы!$F$3:$F$29,"&gt;0")=0,"","Накладная от: "&amp;TEXT(Заказы!$B$1,"dd.mm.yyyy"))</f>
        <v>Накладная от: 22.09.2026</v>
      </c>
      <c r="B83" s="19"/>
      <c r="C83" s="19"/>
      <c r="D83" s="19"/>
      <c r="E83" s="19"/>
      <c r="F83" s="19"/>
      <c r="H83" s="19" t="str">
        <f aca="false">IF(COUNTIF(Заказы!$G$3:$G$29,"&gt;0")=0,"","Накладная от: "&amp;TEXT(Заказы!$B$1,"dd.mm.yyyy"))</f>
        <v>Накладная от: 22.09.2026</v>
      </c>
      <c r="I83" s="19"/>
      <c r="J83" s="19"/>
      <c r="K83" s="19"/>
      <c r="L83" s="19"/>
      <c r="M83" s="19"/>
    </row>
    <row r="85" customFormat="false" ht="15" hidden="false" customHeight="false" outlineLevel="0" collapsed="false">
      <c r="A85" s="4" t="str">
        <f aca="false">IF(COUNTIF(Заказы!$F$3:$F$29,"&gt;0")=0,"","№")</f>
        <v>№</v>
      </c>
      <c r="B85" s="4" t="str">
        <f aca="false">IF(COUNTIF(Заказы!$F$3:$F$29,"&gt;0")=0,"","Наименование")</f>
        <v>Наименование</v>
      </c>
      <c r="C85" s="4" t="str">
        <f aca="false">IF(COUNTIF(Заказы!$F$3:$F$29,"&gt;0")=0,"","Кол.")</f>
        <v>Кол.</v>
      </c>
      <c r="D85" s="4" t="str">
        <f aca="false">IF(COUNTIF(Заказы!$F$3:$F$29,"&gt;0")=0,"","Ед.")</f>
        <v>Ед.</v>
      </c>
      <c r="E85" s="4" t="str">
        <f aca="false">IF(COUNTIF(Заказы!$F$3:$F$29,"&gt;0")=0,"","Цена")</f>
        <v>Цена</v>
      </c>
      <c r="F85" s="4" t="str">
        <f aca="false">IF(COUNTIF(Заказы!$F$3:$F$29,"&gt;0")=0,"","Сумма")</f>
        <v>Сумма</v>
      </c>
      <c r="H85" s="4" t="str">
        <f aca="false">IF(COUNTIF(Заказы!$G$3:$G$29,"&gt;0")=0,"","№")</f>
        <v>№</v>
      </c>
      <c r="I85" s="4" t="str">
        <f aca="false">IF(COUNTIF(Заказы!$G$3:$G$29,"&gt;0")=0,"","Наименование")</f>
        <v>Наименование</v>
      </c>
      <c r="J85" s="4" t="str">
        <f aca="false">IF(COUNTIF(Заказы!$G$3:$G$29,"&gt;0")=0,"","Кол.")</f>
        <v>Кол.</v>
      </c>
      <c r="K85" s="4" t="str">
        <f aca="false">IF(COUNTIF(Заказы!$G$3:$G$29,"&gt;0")=0,"","Ед.")</f>
        <v>Ед.</v>
      </c>
      <c r="L85" s="4" t="str">
        <f aca="false">IF(COUNTIF(Заказы!$G$3:$G$29,"&gt;0")=0,"","Цена")</f>
        <v>Цена</v>
      </c>
      <c r="M85" s="4" t="str">
        <f aca="false">IF(COUNTIF(Заказы!$G$3:$G$29,"&gt;0")=0,"","Сумма")</f>
        <v>Сумма</v>
      </c>
    </row>
    <row r="86" customFormat="false" ht="15" hidden="false" customHeight="false" outlineLevel="0" collapsed="false">
      <c r="A86" s="20" t="n">
        <f aca="false">IF(B86="","",1)</f>
        <v>1</v>
      </c>
      <c r="B86" s="21" t="str">
        <f aca="false" t="array" ref="B86:B86">IFERROR(INDEX(Заказы!$A$3:$A$29,SMALL(IF(Заказы!$F$3:$F$29&gt;0,ROW(Заказы!$F$3:$F$29)-ROW(F$3)+1),1)),"")</f>
        <v>Вупи пай</v>
      </c>
      <c r="C86" s="7" t="n">
        <f aca="false">IF(B86="","",INDEX(Заказы!$F$3:$F$29,MATCH(B86,Заказы!$A$3:$A$29,0)))</f>
        <v>6</v>
      </c>
      <c r="D86" s="20" t="str">
        <f aca="false">IF(B86="","",VLOOKUP(B86,Каталог!$A:$C,2,0))</f>
        <v>Шт</v>
      </c>
      <c r="E86" s="22" t="n">
        <f aca="false">IF(B86="","",VLOOKUP(B86,Каталог!$A:$C,3,0))</f>
        <v>690</v>
      </c>
      <c r="F86" s="22" t="n">
        <f aca="false">IF(B86="","",C86*E86)</f>
        <v>4140</v>
      </c>
      <c r="H86" s="20" t="n">
        <f aca="false">IF(I86="","",1)</f>
        <v>1</v>
      </c>
      <c r="I86" s="21" t="str">
        <f aca="false" t="array" ref="I86:I86">IFERROR(INDEX(Заказы!$A$3:$A$29,SMALL(IF(Заказы!$G$3:$G$29&gt;0,ROW(Заказы!$G$3:$G$29)-ROW(G$3)+1),1)),"")</f>
        <v>Вупи пай</v>
      </c>
      <c r="J86" s="7" t="n">
        <f aca="false">IF(I86="","",INDEX(Заказы!$G$3:$G$29,MATCH(I86,Заказы!$A$3:$A$29,0)))</f>
        <v>4</v>
      </c>
      <c r="K86" s="20" t="str">
        <f aca="false">IF(I86="","",VLOOKUP(I86,Каталог!$A:$C,2,0))</f>
        <v>Шт</v>
      </c>
      <c r="L86" s="22" t="n">
        <f aca="false">IF(I86="","",VLOOKUP(I86,Каталог!$A:$C,3,0))</f>
        <v>690</v>
      </c>
      <c r="M86" s="22" t="n">
        <f aca="false">IF(I86="","",J86*L86)</f>
        <v>2760</v>
      </c>
    </row>
    <row r="87" customFormat="false" ht="15" hidden="false" customHeight="false" outlineLevel="0" collapsed="false">
      <c r="A87" s="20" t="n">
        <f aca="false">IF(B87="","",2)</f>
        <v>2</v>
      </c>
      <c r="B87" s="21" t="str">
        <f aca="false" t="array" ref="B87:B87">IFERROR(INDEX(Заказы!$A$3:$A$29,SMALL(IF(Заказы!$F$3:$F$29&gt;0,ROW(Заказы!$F$3:$F$29)-ROW(F$3)+1),2)),"")</f>
        <v>Фисташковый рулет</v>
      </c>
      <c r="C87" s="7" t="n">
        <f aca="false">IF(B87="","",INDEX(Заказы!$F$3:$F$29,MATCH(B87,Заказы!$A$3:$A$29,0)))</f>
        <v>6</v>
      </c>
      <c r="D87" s="20" t="str">
        <f aca="false">IF(B87="","",VLOOKUP(B87,Каталог!$A:$C,2,0))</f>
        <v>Шт</v>
      </c>
      <c r="E87" s="22" t="n">
        <f aca="false">IF(B87="","",VLOOKUP(B87,Каталог!$A:$C,3,0))</f>
        <v>890</v>
      </c>
      <c r="F87" s="22" t="n">
        <f aca="false">IF(B87="","",C87*E87)</f>
        <v>5340</v>
      </c>
      <c r="H87" s="20" t="n">
        <f aca="false">IF(I87="","",2)</f>
        <v>2</v>
      </c>
      <c r="I87" s="21" t="str">
        <f aca="false" t="array" ref="I87:I87">IFERROR(INDEX(Заказы!$A$3:$A$29,SMALL(IF(Заказы!$G$3:$G$29&gt;0,ROW(Заказы!$G$3:$G$29)-ROW(G$3)+1),2)),"")</f>
        <v>Фисташковый рулет</v>
      </c>
      <c r="J87" s="7" t="n">
        <f aca="false">IF(I87="","",INDEX(Заказы!$G$3:$G$29,MATCH(I87,Заказы!$A$3:$A$29,0)))</f>
        <v>5</v>
      </c>
      <c r="K87" s="20" t="str">
        <f aca="false">IF(I87="","",VLOOKUP(I87,Каталог!$A:$C,2,0))</f>
        <v>Шт</v>
      </c>
      <c r="L87" s="22" t="n">
        <f aca="false">IF(I87="","",VLOOKUP(I87,Каталог!$A:$C,3,0))</f>
        <v>890</v>
      </c>
      <c r="M87" s="22" t="n">
        <f aca="false">IF(I87="","",J87*L87)</f>
        <v>4450</v>
      </c>
    </row>
    <row r="88" customFormat="false" ht="15" hidden="false" customHeight="false" outlineLevel="0" collapsed="false">
      <c r="A88" s="20" t="str">
        <f aca="false">IF(B88="","",3)</f>
        <v/>
      </c>
      <c r="B88" s="21" t="str">
        <f aca="false" t="array" ref="B88:B88">IFERROR(INDEX(Заказы!$A$3:$A$29,SMALL(IF(Заказы!$F$3:$F$29&gt;0,ROW(Заказы!$F$3:$F$29)-ROW(F$3)+1),3)),"")</f>
        <v/>
      </c>
      <c r="C88" s="20" t="str">
        <f aca="false">IF(B88="","",INDEX(Заказы!$F$3:$F$29,MATCH(B88,Заказы!$A$3:$A$29,0)))</f>
        <v/>
      </c>
      <c r="D88" s="20" t="str">
        <f aca="false">IF(B88="","",VLOOKUP(B88,Каталог!$A:$C,2,0))</f>
        <v/>
      </c>
      <c r="E88" s="22" t="str">
        <f aca="false">IF(B88="","",VLOOKUP(B88,Каталог!$A:$C,3,0))</f>
        <v/>
      </c>
      <c r="F88" s="22" t="str">
        <f aca="false">IF(B88="","",C88*E88)</f>
        <v/>
      </c>
      <c r="H88" s="20" t="str">
        <f aca="false">IF(I88="","",3)</f>
        <v/>
      </c>
      <c r="I88" s="21" t="str">
        <f aca="false" t="array" ref="I88:I88">IFERROR(INDEX(Заказы!$A$3:$A$29,SMALL(IF(Заказы!$G$3:$G$29&gt;0,ROW(Заказы!$G$3:$G$29)-ROW(G$3)+1),3)),"")</f>
        <v/>
      </c>
      <c r="J88" s="20" t="str">
        <f aca="false">IF(I88="","",INDEX(Заказы!$G$3:$G$29,MATCH(I88,Заказы!$A$3:$A$29,0)))</f>
        <v/>
      </c>
      <c r="K88" s="20" t="str">
        <f aca="false">IF(I88="","",VLOOKUP(I88,Каталог!$A:$C,2,0))</f>
        <v/>
      </c>
      <c r="L88" s="22" t="str">
        <f aca="false">IF(I88="","",VLOOKUP(I88,Каталог!$A:$C,3,0))</f>
        <v/>
      </c>
      <c r="M88" s="22" t="str">
        <f aca="false">IF(I88="","",J88*L88)</f>
        <v/>
      </c>
    </row>
    <row r="89" customFormat="false" ht="15" hidden="false" customHeight="false" outlineLevel="0" collapsed="false">
      <c r="A89" s="20" t="str">
        <f aca="false">IF(B89="","",4)</f>
        <v/>
      </c>
      <c r="B89" s="21" t="str">
        <f aca="false" t="array" ref="B89:B89">IFERROR(INDEX(Заказы!$A$3:$A$29,SMALL(IF(Заказы!$F$3:$F$29&gt;0,ROW(Заказы!$F$3:$F$29)-ROW(F$3)+1),4)),"")</f>
        <v/>
      </c>
      <c r="C89" s="20" t="str">
        <f aca="false">IF(B89="","",INDEX(Заказы!$F$3:$F$29,MATCH(B89,Заказы!$A$3:$A$29,0)))</f>
        <v/>
      </c>
      <c r="D89" s="20" t="str">
        <f aca="false">IF(B89="","",VLOOKUP(B89,Каталог!$A:$C,2,0))</f>
        <v/>
      </c>
      <c r="E89" s="22" t="str">
        <f aca="false">IF(B89="","",VLOOKUP(B89,Каталог!$A:$C,3,0))</f>
        <v/>
      </c>
      <c r="F89" s="22" t="str">
        <f aca="false">IF(B89="","",C89*E89)</f>
        <v/>
      </c>
      <c r="H89" s="20" t="str">
        <f aca="false">IF(I89="","",4)</f>
        <v/>
      </c>
      <c r="I89" s="21" t="str">
        <f aca="false" t="array" ref="I89:I89">IFERROR(INDEX(Заказы!$A$3:$A$29,SMALL(IF(Заказы!$G$3:$G$29&gt;0,ROW(Заказы!$G$3:$G$29)-ROW(G$3)+1),4)),"")</f>
        <v/>
      </c>
      <c r="J89" s="20" t="str">
        <f aca="false">IF(I89="","",INDEX(Заказы!$G$3:$G$29,MATCH(I89,Заказы!$A$3:$A$29,0)))</f>
        <v/>
      </c>
      <c r="K89" s="20" t="str">
        <f aca="false">IF(I89="","",VLOOKUP(I89,Каталог!$A:$C,2,0))</f>
        <v/>
      </c>
      <c r="L89" s="22" t="str">
        <f aca="false">IF(I89="","",VLOOKUP(I89,Каталог!$A:$C,3,0))</f>
        <v/>
      </c>
      <c r="M89" s="22" t="str">
        <f aca="false">IF(I89="","",J89*L89)</f>
        <v/>
      </c>
    </row>
    <row r="90" customFormat="false" ht="15" hidden="false" customHeight="false" outlineLevel="0" collapsed="false">
      <c r="A90" s="20" t="str">
        <f aca="false">IF(B90="","",5)</f>
        <v/>
      </c>
      <c r="B90" s="21" t="str">
        <f aca="false" t="array" ref="B90:B90">IFERROR(INDEX(Заказы!$A$3:$A$29,SMALL(IF(Заказы!$F$3:$F$29&gt;0,ROW(Заказы!$F$3:$F$29)-ROW(F$3)+1),5)),"")</f>
        <v/>
      </c>
      <c r="C90" s="20" t="str">
        <f aca="false">IF(B90="","",INDEX(Заказы!$F$3:$F$29,MATCH(B90,Заказы!$A$3:$A$29,0)))</f>
        <v/>
      </c>
      <c r="D90" s="20" t="str">
        <f aca="false">IF(B90="","",VLOOKUP(B90,Каталог!$A:$C,2,0))</f>
        <v/>
      </c>
      <c r="E90" s="22" t="str">
        <f aca="false">IF(B90="","",VLOOKUP(B90,Каталог!$A:$C,3,0))</f>
        <v/>
      </c>
      <c r="F90" s="22" t="str">
        <f aca="false">IF(B90="","",C90*E90)</f>
        <v/>
      </c>
      <c r="H90" s="20" t="str">
        <f aca="false">IF(I90="","",5)</f>
        <v/>
      </c>
      <c r="I90" s="21" t="str">
        <f aca="false" t="array" ref="I90:I90">IFERROR(INDEX(Заказы!$A$3:$A$29,SMALL(IF(Заказы!$G$3:$G$29&gt;0,ROW(Заказы!$G$3:$G$29)-ROW(G$3)+1),5)),"")</f>
        <v/>
      </c>
      <c r="J90" s="20" t="str">
        <f aca="false">IF(I90="","",INDEX(Заказы!$G$3:$G$29,MATCH(I90,Заказы!$A$3:$A$29,0)))</f>
        <v/>
      </c>
      <c r="K90" s="20" t="str">
        <f aca="false">IF(I90="","",VLOOKUP(I90,Каталог!$A:$C,2,0))</f>
        <v/>
      </c>
      <c r="L90" s="22" t="str">
        <f aca="false">IF(I90="","",VLOOKUP(I90,Каталог!$A:$C,3,0))</f>
        <v/>
      </c>
      <c r="M90" s="22" t="str">
        <f aca="false">IF(I90="","",J90*L90)</f>
        <v/>
      </c>
    </row>
    <row r="91" customFormat="false" ht="15" hidden="false" customHeight="false" outlineLevel="0" collapsed="false">
      <c r="A91" s="20" t="str">
        <f aca="false">IF(B91="","",6)</f>
        <v/>
      </c>
      <c r="B91" s="21" t="str">
        <f aca="false" t="array" ref="B91:B91">IFERROR(INDEX(Заказы!$A$3:$A$29,SMALL(IF(Заказы!$F$3:$F$29&gt;0,ROW(Заказы!$F$3:$F$29)-ROW(F$3)+1),6)),"")</f>
        <v/>
      </c>
      <c r="C91" s="20" t="str">
        <f aca="false">IF(B91="","",INDEX(Заказы!$F$3:$F$29,MATCH(B91,Заказы!$A$3:$A$29,0)))</f>
        <v/>
      </c>
      <c r="D91" s="20" t="str">
        <f aca="false">IF(B91="","",VLOOKUP(B91,Каталог!$A:$C,2,0))</f>
        <v/>
      </c>
      <c r="E91" s="22" t="str">
        <f aca="false">IF(B91="","",VLOOKUP(B91,Каталог!$A:$C,3,0))</f>
        <v/>
      </c>
      <c r="F91" s="22" t="str">
        <f aca="false">IF(B91="","",C91*E91)</f>
        <v/>
      </c>
      <c r="H91" s="20" t="str">
        <f aca="false">IF(I91="","",6)</f>
        <v/>
      </c>
      <c r="I91" s="21" t="str">
        <f aca="false" t="array" ref="I91:I91">IFERROR(INDEX(Заказы!$A$3:$A$29,SMALL(IF(Заказы!$G$3:$G$29&gt;0,ROW(Заказы!$G$3:$G$29)-ROW(G$3)+1),6)),"")</f>
        <v/>
      </c>
      <c r="J91" s="20" t="str">
        <f aca="false">IF(I91="","",INDEX(Заказы!$G$3:$G$29,MATCH(I91,Заказы!$A$3:$A$29,0)))</f>
        <v/>
      </c>
      <c r="K91" s="20" t="str">
        <f aca="false">IF(I91="","",VLOOKUP(I91,Каталог!$A:$C,2,0))</f>
        <v/>
      </c>
      <c r="L91" s="22" t="str">
        <f aca="false">IF(I91="","",VLOOKUP(I91,Каталог!$A:$C,3,0))</f>
        <v/>
      </c>
      <c r="M91" s="22" t="str">
        <f aca="false">IF(I91="","",J91*L91)</f>
        <v/>
      </c>
    </row>
    <row r="92" customFormat="false" ht="15" hidden="false" customHeight="false" outlineLevel="0" collapsed="false">
      <c r="A92" s="20" t="str">
        <f aca="false">IF(B92="","",7)</f>
        <v/>
      </c>
      <c r="B92" s="21" t="str">
        <f aca="false" t="array" ref="B92:B92">IFERROR(INDEX(Заказы!$A$3:$A$29,SMALL(IF(Заказы!$F$3:$F$29&gt;0,ROW(Заказы!$F$3:$F$29)-ROW(F$3)+1),7)),"")</f>
        <v/>
      </c>
      <c r="C92" s="20" t="str">
        <f aca="false">IF(B92="","",INDEX(Заказы!$F$3:$F$29,MATCH(B92,Заказы!$A$3:$A$29,0)))</f>
        <v/>
      </c>
      <c r="D92" s="20" t="str">
        <f aca="false">IF(B92="","",VLOOKUP(B92,Каталог!$A:$C,2,0))</f>
        <v/>
      </c>
      <c r="E92" s="22" t="str">
        <f aca="false">IF(B92="","",VLOOKUP(B92,Каталог!$A:$C,3,0))</f>
        <v/>
      </c>
      <c r="F92" s="22" t="str">
        <f aca="false">IF(B92="","",C92*E92)</f>
        <v/>
      </c>
      <c r="H92" s="20" t="str">
        <f aca="false">IF(I92="","",7)</f>
        <v/>
      </c>
      <c r="I92" s="21" t="str">
        <f aca="false" t="array" ref="I92:I92">IFERROR(INDEX(Заказы!$A$3:$A$29,SMALL(IF(Заказы!$G$3:$G$29&gt;0,ROW(Заказы!$G$3:$G$29)-ROW(G$3)+1),7)),"")</f>
        <v/>
      </c>
      <c r="J92" s="20" t="str">
        <f aca="false">IF(I92="","",INDEX(Заказы!$G$3:$G$29,MATCH(I92,Заказы!$A$3:$A$29,0)))</f>
        <v/>
      </c>
      <c r="K92" s="20" t="str">
        <f aca="false">IF(I92="","",VLOOKUP(I92,Каталог!$A:$C,2,0))</f>
        <v/>
      </c>
      <c r="L92" s="22" t="str">
        <f aca="false">IF(I92="","",VLOOKUP(I92,Каталог!$A:$C,3,0))</f>
        <v/>
      </c>
      <c r="M92" s="22" t="str">
        <f aca="false">IF(I92="","",J92*L92)</f>
        <v/>
      </c>
    </row>
    <row r="93" customFormat="false" ht="15" hidden="false" customHeight="false" outlineLevel="0" collapsed="false">
      <c r="A93" s="20" t="str">
        <f aca="false">IF(B93="","",8)</f>
        <v/>
      </c>
      <c r="B93" s="21" t="str">
        <f aca="false" t="array" ref="B93:B93">IFERROR(INDEX(Заказы!$A$3:$A$29,SMALL(IF(Заказы!$F$3:$F$29&gt;0,ROW(Заказы!$F$3:$F$29)-ROW(F$3)+1),8)),"")</f>
        <v/>
      </c>
      <c r="C93" s="20" t="str">
        <f aca="false">IF(B93="","",INDEX(Заказы!$F$3:$F$29,MATCH(B93,Заказы!$A$3:$A$29,0)))</f>
        <v/>
      </c>
      <c r="D93" s="20" t="str">
        <f aca="false">IF(B93="","",VLOOKUP(B93,Каталог!$A:$C,2,0))</f>
        <v/>
      </c>
      <c r="E93" s="22" t="str">
        <f aca="false">IF(B93="","",VLOOKUP(B93,Каталог!$A:$C,3,0))</f>
        <v/>
      </c>
      <c r="F93" s="22" t="str">
        <f aca="false">IF(B93="","",C93*E93)</f>
        <v/>
      </c>
      <c r="H93" s="20" t="str">
        <f aca="false">IF(I93="","",8)</f>
        <v/>
      </c>
      <c r="I93" s="21" t="str">
        <f aca="false" t="array" ref="I93:I93">IFERROR(INDEX(Заказы!$A$3:$A$29,SMALL(IF(Заказы!$G$3:$G$29&gt;0,ROW(Заказы!$G$3:$G$29)-ROW(G$3)+1),8)),"")</f>
        <v/>
      </c>
      <c r="J93" s="20" t="str">
        <f aca="false">IF(I93="","",INDEX(Заказы!$G$3:$G$29,MATCH(I93,Заказы!$A$3:$A$29,0)))</f>
        <v/>
      </c>
      <c r="K93" s="20" t="str">
        <f aca="false">IF(I93="","",VLOOKUP(I93,Каталог!$A:$C,2,0))</f>
        <v/>
      </c>
      <c r="L93" s="22" t="str">
        <f aca="false">IF(I93="","",VLOOKUP(I93,Каталог!$A:$C,3,0))</f>
        <v/>
      </c>
      <c r="M93" s="22" t="str">
        <f aca="false">IF(I93="","",J93*L93)</f>
        <v/>
      </c>
    </row>
    <row r="94" customFormat="false" ht="15" hidden="false" customHeight="false" outlineLevel="0" collapsed="false">
      <c r="A94" s="20" t="str">
        <f aca="false">IF(B94="","",9)</f>
        <v/>
      </c>
      <c r="B94" s="21" t="str">
        <f aca="false" t="array" ref="B94:B94">IFERROR(INDEX(Заказы!$A$3:$A$29,SMALL(IF(Заказы!$F$3:$F$29&gt;0,ROW(Заказы!$F$3:$F$29)-ROW(F$3)+1),9)),"")</f>
        <v/>
      </c>
      <c r="C94" s="20" t="str">
        <f aca="false">IF(B94="","",INDEX(Заказы!$F$3:$F$29,MATCH(B94,Заказы!$A$3:$A$29,0)))</f>
        <v/>
      </c>
      <c r="D94" s="20" t="str">
        <f aca="false">IF(B94="","",VLOOKUP(B94,Каталог!$A:$C,2,0))</f>
        <v/>
      </c>
      <c r="E94" s="22" t="str">
        <f aca="false">IF(B94="","",VLOOKUP(B94,Каталог!$A:$C,3,0))</f>
        <v/>
      </c>
      <c r="F94" s="22" t="str">
        <f aca="false">IF(B94="","",C94*E94)</f>
        <v/>
      </c>
      <c r="H94" s="20" t="str">
        <f aca="false">IF(I94="","",9)</f>
        <v/>
      </c>
      <c r="I94" s="21" t="str">
        <f aca="false" t="array" ref="I94:I94">IFERROR(INDEX(Заказы!$A$3:$A$29,SMALL(IF(Заказы!$G$3:$G$29&gt;0,ROW(Заказы!$G$3:$G$29)-ROW(G$3)+1),9)),"")</f>
        <v/>
      </c>
      <c r="J94" s="20" t="str">
        <f aca="false">IF(I94="","",INDEX(Заказы!$G$3:$G$29,MATCH(I94,Заказы!$A$3:$A$29,0)))</f>
        <v/>
      </c>
      <c r="K94" s="20" t="str">
        <f aca="false">IF(I94="","",VLOOKUP(I94,Каталог!$A:$C,2,0))</f>
        <v/>
      </c>
      <c r="L94" s="22" t="str">
        <f aca="false">IF(I94="","",VLOOKUP(I94,Каталог!$A:$C,3,0))</f>
        <v/>
      </c>
      <c r="M94" s="22" t="str">
        <f aca="false">IF(I94="","",J94*L94)</f>
        <v/>
      </c>
    </row>
    <row r="95" customFormat="false" ht="15" hidden="false" customHeight="false" outlineLevel="0" collapsed="false">
      <c r="A95" s="20" t="str">
        <f aca="false">IF(B95="","",10)</f>
        <v/>
      </c>
      <c r="B95" s="21" t="str">
        <f aca="false" t="array" ref="B95:B95">IFERROR(INDEX(Заказы!$A$3:$A$29,SMALL(IF(Заказы!$F$3:$F$29&gt;0,ROW(Заказы!$F$3:$F$29)-ROW(F$3)+1),10)),"")</f>
        <v/>
      </c>
      <c r="C95" s="20" t="str">
        <f aca="false">IF(B95="","",INDEX(Заказы!$F$3:$F$29,MATCH(B95,Заказы!$A$3:$A$29,0)))</f>
        <v/>
      </c>
      <c r="D95" s="20" t="str">
        <f aca="false">IF(B95="","",VLOOKUP(B95,Каталог!$A:$C,2,0))</f>
        <v/>
      </c>
      <c r="E95" s="22" t="str">
        <f aca="false">IF(B95="","",VLOOKUP(B95,Каталог!$A:$C,3,0))</f>
        <v/>
      </c>
      <c r="F95" s="22" t="str">
        <f aca="false">IF(B95="","",C95*E95)</f>
        <v/>
      </c>
      <c r="H95" s="20" t="str">
        <f aca="false">IF(I95="","",10)</f>
        <v/>
      </c>
      <c r="I95" s="21" t="str">
        <f aca="false" t="array" ref="I95:I95">IFERROR(INDEX(Заказы!$A$3:$A$29,SMALL(IF(Заказы!$G$3:$G$29&gt;0,ROW(Заказы!$G$3:$G$29)-ROW(G$3)+1),10)),"")</f>
        <v/>
      </c>
      <c r="J95" s="20" t="str">
        <f aca="false">IF(I95="","",INDEX(Заказы!$G$3:$G$29,MATCH(I95,Заказы!$A$3:$A$29,0)))</f>
        <v/>
      </c>
      <c r="K95" s="20" t="str">
        <f aca="false">IF(I95="","",VLOOKUP(I95,Каталог!$A:$C,2,0))</f>
        <v/>
      </c>
      <c r="L95" s="22" t="str">
        <f aca="false">IF(I95="","",VLOOKUP(I95,Каталог!$A:$C,3,0))</f>
        <v/>
      </c>
      <c r="M95" s="22" t="str">
        <f aca="false">IF(I95="","",J95*L95)</f>
        <v/>
      </c>
    </row>
    <row r="96" customFormat="false" ht="15" hidden="false" customHeight="false" outlineLevel="0" collapsed="false">
      <c r="A96" s="20" t="str">
        <f aca="false">IF(B96="","",11)</f>
        <v/>
      </c>
      <c r="B96" s="21" t="str">
        <f aca="false" t="array" ref="B96:B96">IFERROR(INDEX(Заказы!$A$3:$A$29,SMALL(IF(Заказы!$F$3:$F$29&gt;0,ROW(Заказы!$F$3:$F$29)-ROW(F$3)+1),11)),"")</f>
        <v/>
      </c>
      <c r="C96" s="20" t="str">
        <f aca="false">IF(B96="","",INDEX(Заказы!$F$3:$F$29,MATCH(B96,Заказы!$A$3:$A$29,0)))</f>
        <v/>
      </c>
      <c r="D96" s="20" t="str">
        <f aca="false">IF(B96="","",VLOOKUP(B96,Каталог!$A:$C,2,0))</f>
        <v/>
      </c>
      <c r="E96" s="22" t="str">
        <f aca="false">IF(B96="","",VLOOKUP(B96,Каталог!$A:$C,3,0))</f>
        <v/>
      </c>
      <c r="F96" s="22" t="str">
        <f aca="false">IF(B96="","",C96*E96)</f>
        <v/>
      </c>
      <c r="H96" s="20" t="str">
        <f aca="false">IF(I96="","",11)</f>
        <v/>
      </c>
      <c r="I96" s="21" t="str">
        <f aca="false" t="array" ref="I96:I96">IFERROR(INDEX(Заказы!$A$3:$A$29,SMALL(IF(Заказы!$G$3:$G$29&gt;0,ROW(Заказы!$G$3:$G$29)-ROW(G$3)+1),11)),"")</f>
        <v/>
      </c>
      <c r="J96" s="20" t="str">
        <f aca="false">IF(I96="","",INDEX(Заказы!$G$3:$G$29,MATCH(I96,Заказы!$A$3:$A$29,0)))</f>
        <v/>
      </c>
      <c r="K96" s="20" t="str">
        <f aca="false">IF(I96="","",VLOOKUP(I96,Каталог!$A:$C,2,0))</f>
        <v/>
      </c>
      <c r="L96" s="22" t="str">
        <f aca="false">IF(I96="","",VLOOKUP(I96,Каталог!$A:$C,3,0))</f>
        <v/>
      </c>
      <c r="M96" s="22" t="str">
        <f aca="false">IF(I96="","",J96*L96)</f>
        <v/>
      </c>
    </row>
    <row r="97" customFormat="false" ht="15" hidden="false" customHeight="false" outlineLevel="0" collapsed="false">
      <c r="A97" s="20" t="str">
        <f aca="false">IF(B97="","",12)</f>
        <v/>
      </c>
      <c r="B97" s="21" t="str">
        <f aca="false" t="array" ref="B97:B97">IFERROR(INDEX(Заказы!$A$3:$A$29,SMALL(IF(Заказы!$F$3:$F$29&gt;0,ROW(Заказы!$F$3:$F$29)-ROW(F$3)+1),12)),"")</f>
        <v/>
      </c>
      <c r="C97" s="20" t="str">
        <f aca="false">IF(B97="","",INDEX(Заказы!$F$3:$F$29,MATCH(B97,Заказы!$A$3:$A$29,0)))</f>
        <v/>
      </c>
      <c r="D97" s="20" t="str">
        <f aca="false">IF(B97="","",VLOOKUP(B97,Каталог!$A:$C,2,0))</f>
        <v/>
      </c>
      <c r="E97" s="22" t="str">
        <f aca="false">IF(B97="","",VLOOKUP(B97,Каталог!$A:$C,3,0))</f>
        <v/>
      </c>
      <c r="F97" s="22" t="str">
        <f aca="false">IF(B97="","",C97*E97)</f>
        <v/>
      </c>
      <c r="H97" s="20" t="str">
        <f aca="false">IF(I97="","",12)</f>
        <v/>
      </c>
      <c r="I97" s="21" t="str">
        <f aca="false" t="array" ref="I97:I97">IFERROR(INDEX(Заказы!$A$3:$A$29,SMALL(IF(Заказы!$G$3:$G$29&gt;0,ROW(Заказы!$G$3:$G$29)-ROW(G$3)+1),12)),"")</f>
        <v/>
      </c>
      <c r="J97" s="20" t="str">
        <f aca="false">IF(I97="","",INDEX(Заказы!$G$3:$G$29,MATCH(I97,Заказы!$A$3:$A$29,0)))</f>
        <v/>
      </c>
      <c r="K97" s="20" t="str">
        <f aca="false">IF(I97="","",VLOOKUP(I97,Каталог!$A:$C,2,0))</f>
        <v/>
      </c>
      <c r="L97" s="22" t="str">
        <f aca="false">IF(I97="","",VLOOKUP(I97,Каталог!$A:$C,3,0))</f>
        <v/>
      </c>
      <c r="M97" s="22" t="str">
        <f aca="false">IF(I97="","",J97*L97)</f>
        <v/>
      </c>
    </row>
    <row r="98" customFormat="false" ht="15" hidden="false" customHeight="false" outlineLevel="0" collapsed="false">
      <c r="A98" s="20" t="str">
        <f aca="false">IF(B98="","",13)</f>
        <v/>
      </c>
      <c r="B98" s="21" t="str">
        <f aca="false" t="array" ref="B98:B98">IFERROR(INDEX(Заказы!$A$3:$A$29,SMALL(IF(Заказы!$F$3:$F$29&gt;0,ROW(Заказы!$F$3:$F$29)-ROW(F$3)+1),13)),"")</f>
        <v/>
      </c>
      <c r="C98" s="20" t="str">
        <f aca="false">IF(B98="","",INDEX(Заказы!$F$3:$F$29,MATCH(B98,Заказы!$A$3:$A$29,0)))</f>
        <v/>
      </c>
      <c r="D98" s="20" t="str">
        <f aca="false">IF(B98="","",VLOOKUP(B98,Каталог!$A:$C,2,0))</f>
        <v/>
      </c>
      <c r="E98" s="22" t="str">
        <f aca="false">IF(B98="","",VLOOKUP(B98,Каталог!$A:$C,3,0))</f>
        <v/>
      </c>
      <c r="F98" s="22" t="str">
        <f aca="false">IF(B98="","",C98*E98)</f>
        <v/>
      </c>
      <c r="H98" s="20" t="str">
        <f aca="false">IF(I98="","",13)</f>
        <v/>
      </c>
      <c r="I98" s="21" t="str">
        <f aca="false" t="array" ref="I98:I98">IFERROR(INDEX(Заказы!$A$3:$A$29,SMALL(IF(Заказы!$G$3:$G$29&gt;0,ROW(Заказы!$G$3:$G$29)-ROW(G$3)+1),13)),"")</f>
        <v/>
      </c>
      <c r="J98" s="20" t="str">
        <f aca="false">IF(I98="","",INDEX(Заказы!$G$3:$G$29,MATCH(I98,Заказы!$A$3:$A$29,0)))</f>
        <v/>
      </c>
      <c r="K98" s="20" t="str">
        <f aca="false">IF(I98="","",VLOOKUP(I98,Каталог!$A:$C,2,0))</f>
        <v/>
      </c>
      <c r="L98" s="22" t="str">
        <f aca="false">IF(I98="","",VLOOKUP(I98,Каталог!$A:$C,3,0))</f>
        <v/>
      </c>
      <c r="M98" s="22" t="str">
        <f aca="false">IF(I98="","",J98*L98)</f>
        <v/>
      </c>
    </row>
    <row r="99" customFormat="false" ht="15" hidden="false" customHeight="false" outlineLevel="0" collapsed="false">
      <c r="A99" s="20" t="str">
        <f aca="false">IF(B99="","",14)</f>
        <v/>
      </c>
      <c r="B99" s="21" t="str">
        <f aca="false" t="array" ref="B99:B99">IFERROR(INDEX(Заказы!$A$3:$A$29,SMALL(IF(Заказы!$F$3:$F$29&gt;0,ROW(Заказы!$F$3:$F$29)-ROW(F$3)+1),14)),"")</f>
        <v/>
      </c>
      <c r="C99" s="20" t="str">
        <f aca="false">IF(B99="","",INDEX(Заказы!$F$3:$F$29,MATCH(B99,Заказы!$A$3:$A$29,0)))</f>
        <v/>
      </c>
      <c r="D99" s="20" t="str">
        <f aca="false">IF(B99="","",VLOOKUP(B99,Каталог!$A:$C,2,0))</f>
        <v/>
      </c>
      <c r="E99" s="22" t="str">
        <f aca="false">IF(B99="","",VLOOKUP(B99,Каталог!$A:$C,3,0))</f>
        <v/>
      </c>
      <c r="F99" s="22" t="str">
        <f aca="false">IF(B99="","",C99*E99)</f>
        <v/>
      </c>
      <c r="H99" s="20" t="str">
        <f aca="false">IF(I99="","",14)</f>
        <v/>
      </c>
      <c r="I99" s="21" t="str">
        <f aca="false" t="array" ref="I99:I99">IFERROR(INDEX(Заказы!$A$3:$A$29,SMALL(IF(Заказы!$G$3:$G$29&gt;0,ROW(Заказы!$G$3:$G$29)-ROW(G$3)+1),14)),"")</f>
        <v/>
      </c>
      <c r="J99" s="20" t="str">
        <f aca="false">IF(I99="","",INDEX(Заказы!$G$3:$G$29,MATCH(I99,Заказы!$A$3:$A$29,0)))</f>
        <v/>
      </c>
      <c r="K99" s="20" t="str">
        <f aca="false">IF(I99="","",VLOOKUP(I99,Каталог!$A:$C,2,0))</f>
        <v/>
      </c>
      <c r="L99" s="22" t="str">
        <f aca="false">IF(I99="","",VLOOKUP(I99,Каталог!$A:$C,3,0))</f>
        <v/>
      </c>
      <c r="M99" s="22" t="str">
        <f aca="false">IF(I99="","",J99*L99)</f>
        <v/>
      </c>
    </row>
    <row r="100" customFormat="false" ht="15" hidden="false" customHeight="false" outlineLevel="0" collapsed="false">
      <c r="A100" s="20" t="str">
        <f aca="false">IF(B100="","",15)</f>
        <v/>
      </c>
      <c r="B100" s="21" t="str">
        <f aca="false" t="array" ref="B100:B100">IFERROR(INDEX(Заказы!$A$3:$A$29,SMALL(IF(Заказы!$F$3:$F$29&gt;0,ROW(Заказы!$F$3:$F$29)-ROW(F$3)+1),15)),"")</f>
        <v/>
      </c>
      <c r="C100" s="20" t="str">
        <f aca="false">IF(B100="","",INDEX(Заказы!$F$3:$F$29,MATCH(B100,Заказы!$A$3:$A$29,0)))</f>
        <v/>
      </c>
      <c r="D100" s="20" t="str">
        <f aca="false">IF(B100="","",VLOOKUP(B100,Каталог!$A:$C,2,0))</f>
        <v/>
      </c>
      <c r="E100" s="22" t="str">
        <f aca="false">IF(B100="","",VLOOKUP(B100,Каталог!$A:$C,3,0))</f>
        <v/>
      </c>
      <c r="F100" s="22" t="str">
        <f aca="false">IF(B100="","",C100*E100)</f>
        <v/>
      </c>
      <c r="H100" s="20" t="str">
        <f aca="false">IF(I100="","",15)</f>
        <v/>
      </c>
      <c r="I100" s="21" t="str">
        <f aca="false" t="array" ref="I100:I100">IFERROR(INDEX(Заказы!$A$3:$A$29,SMALL(IF(Заказы!$G$3:$G$29&gt;0,ROW(Заказы!$G$3:$G$29)-ROW(G$3)+1),15)),"")</f>
        <v/>
      </c>
      <c r="J100" s="20" t="str">
        <f aca="false">IF(I100="","",INDEX(Заказы!$G$3:$G$29,MATCH(I100,Заказы!$A$3:$A$29,0)))</f>
        <v/>
      </c>
      <c r="K100" s="20" t="str">
        <f aca="false">IF(I100="","",VLOOKUP(I100,Каталог!$A:$C,2,0))</f>
        <v/>
      </c>
      <c r="L100" s="22" t="str">
        <f aca="false">IF(I100="","",VLOOKUP(I100,Каталог!$A:$C,3,0))</f>
        <v/>
      </c>
      <c r="M100" s="22" t="str">
        <f aca="false">IF(I100="","",J100*L100)</f>
        <v/>
      </c>
    </row>
    <row r="101" customFormat="false" ht="15" hidden="false" customHeight="false" outlineLevel="0" collapsed="false">
      <c r="A101" s="20" t="str">
        <f aca="false">IF(B101="","",16)</f>
        <v/>
      </c>
      <c r="B101" s="21" t="str">
        <f aca="false" t="array" ref="B101:B101">IFERROR(INDEX(Заказы!$A$3:$A$29,SMALL(IF(Заказы!$F$3:$F$29&gt;0,ROW(Заказы!$F$3:$F$29)-ROW(F$3)+1),16)),"")</f>
        <v/>
      </c>
      <c r="C101" s="20" t="str">
        <f aca="false">IF(B101="","",INDEX(Заказы!$F$3:$F$29,MATCH(B101,Заказы!$A$3:$A$29,0)))</f>
        <v/>
      </c>
      <c r="D101" s="20" t="str">
        <f aca="false">IF(B101="","",VLOOKUP(B101,Каталог!$A:$C,2,0))</f>
        <v/>
      </c>
      <c r="E101" s="22" t="str">
        <f aca="false">IF(B101="","",VLOOKUP(B101,Каталог!$A:$C,3,0))</f>
        <v/>
      </c>
      <c r="F101" s="22" t="str">
        <f aca="false">IF(B101="","",C101*E101)</f>
        <v/>
      </c>
      <c r="H101" s="20" t="str">
        <f aca="false">IF(I101="","",16)</f>
        <v/>
      </c>
      <c r="I101" s="21" t="str">
        <f aca="false" t="array" ref="I101:I101">IFERROR(INDEX(Заказы!$A$3:$A$29,SMALL(IF(Заказы!$G$3:$G$29&gt;0,ROW(Заказы!$G$3:$G$29)-ROW(G$3)+1),16)),"")</f>
        <v/>
      </c>
      <c r="J101" s="20" t="str">
        <f aca="false">IF(I101="","",INDEX(Заказы!$G$3:$G$29,MATCH(I101,Заказы!$A$3:$A$29,0)))</f>
        <v/>
      </c>
      <c r="K101" s="20" t="str">
        <f aca="false">IF(I101="","",VLOOKUP(I101,Каталог!$A:$C,2,0))</f>
        <v/>
      </c>
      <c r="L101" s="22" t="str">
        <f aca="false">IF(I101="","",VLOOKUP(I101,Каталог!$A:$C,3,0))</f>
        <v/>
      </c>
      <c r="M101" s="22" t="str">
        <f aca="false">IF(I101="","",J101*L101)</f>
        <v/>
      </c>
    </row>
    <row r="102" customFormat="false" ht="15" hidden="false" customHeight="false" outlineLevel="0" collapsed="false">
      <c r="A102" s="20" t="str">
        <f aca="false">IF(B102="","",17)</f>
        <v/>
      </c>
      <c r="B102" s="21" t="str">
        <f aca="false" t="array" ref="B102:B102">IFERROR(INDEX(Заказы!$A$3:$A$29,SMALL(IF(Заказы!$F$3:$F$29&gt;0,ROW(Заказы!$F$3:$F$29)-ROW(F$3)+1),17)),"")</f>
        <v/>
      </c>
      <c r="C102" s="20" t="str">
        <f aca="false">IF(B102="","",INDEX(Заказы!$F$3:$F$29,MATCH(B102,Заказы!$A$3:$A$29,0)))</f>
        <v/>
      </c>
      <c r="D102" s="20" t="str">
        <f aca="false">IF(B102="","",VLOOKUP(B102,Каталог!$A:$C,2,0))</f>
        <v/>
      </c>
      <c r="E102" s="22" t="str">
        <f aca="false">IF(B102="","",VLOOKUP(B102,Каталог!$A:$C,3,0))</f>
        <v/>
      </c>
      <c r="F102" s="22" t="str">
        <f aca="false">IF(B102="","",C102*E102)</f>
        <v/>
      </c>
      <c r="H102" s="20" t="str">
        <f aca="false">IF(I102="","",17)</f>
        <v/>
      </c>
      <c r="I102" s="21" t="str">
        <f aca="false" t="array" ref="I102:I102">IFERROR(INDEX(Заказы!$A$3:$A$29,SMALL(IF(Заказы!$G$3:$G$29&gt;0,ROW(Заказы!$G$3:$G$29)-ROW(G$3)+1),17)),"")</f>
        <v/>
      </c>
      <c r="J102" s="20" t="str">
        <f aca="false">IF(I102="","",INDEX(Заказы!$G$3:$G$29,MATCH(I102,Заказы!$A$3:$A$29,0)))</f>
        <v/>
      </c>
      <c r="K102" s="20" t="str">
        <f aca="false">IF(I102="","",VLOOKUP(I102,Каталог!$A:$C,2,0))</f>
        <v/>
      </c>
      <c r="L102" s="22" t="str">
        <f aca="false">IF(I102="","",VLOOKUP(I102,Каталог!$A:$C,3,0))</f>
        <v/>
      </c>
      <c r="M102" s="22" t="str">
        <f aca="false">IF(I102="","",J102*L102)</f>
        <v/>
      </c>
    </row>
    <row r="103" customFormat="false" ht="15" hidden="false" customHeight="false" outlineLevel="0" collapsed="false">
      <c r="A103" s="20" t="str">
        <f aca="false">IF(B103="","",18)</f>
        <v/>
      </c>
      <c r="B103" s="21" t="str">
        <f aca="false" t="array" ref="B103:B103">IFERROR(INDEX(Заказы!$A$3:$A$29,SMALL(IF(Заказы!$F$3:$F$29&gt;0,ROW(Заказы!$F$3:$F$29)-ROW(F$3)+1),18)),"")</f>
        <v/>
      </c>
      <c r="C103" s="20" t="str">
        <f aca="false">IF(B103="","",INDEX(Заказы!$F$3:$F$29,MATCH(B103,Заказы!$A$3:$A$29,0)))</f>
        <v/>
      </c>
      <c r="D103" s="20" t="str">
        <f aca="false">IF(B103="","",VLOOKUP(B103,Каталог!$A:$C,2,0))</f>
        <v/>
      </c>
      <c r="E103" s="22" t="str">
        <f aca="false">IF(B103="","",VLOOKUP(B103,Каталог!$A:$C,3,0))</f>
        <v/>
      </c>
      <c r="F103" s="22" t="str">
        <f aca="false">IF(B103="","",C103*E103)</f>
        <v/>
      </c>
      <c r="H103" s="20" t="str">
        <f aca="false">IF(I103="","",18)</f>
        <v/>
      </c>
      <c r="I103" s="21" t="str">
        <f aca="false" t="array" ref="I103:I103">IFERROR(INDEX(Заказы!$A$3:$A$29,SMALL(IF(Заказы!$G$3:$G$29&gt;0,ROW(Заказы!$G$3:$G$29)-ROW(G$3)+1),18)),"")</f>
        <v/>
      </c>
      <c r="J103" s="20" t="str">
        <f aca="false">IF(I103="","",INDEX(Заказы!$G$3:$G$29,MATCH(I103,Заказы!$A$3:$A$29,0)))</f>
        <v/>
      </c>
      <c r="K103" s="20" t="str">
        <f aca="false">IF(I103="","",VLOOKUP(I103,Каталог!$A:$C,2,0))</f>
        <v/>
      </c>
      <c r="L103" s="22" t="str">
        <f aca="false">IF(I103="","",VLOOKUP(I103,Каталог!$A:$C,3,0))</f>
        <v/>
      </c>
      <c r="M103" s="22" t="str">
        <f aca="false">IF(I103="","",J103*L103)</f>
        <v/>
      </c>
    </row>
    <row r="104" customFormat="false" ht="15" hidden="false" customHeight="false" outlineLevel="0" collapsed="false">
      <c r="A104" s="20" t="str">
        <f aca="false">IF(B104="","",19)</f>
        <v/>
      </c>
      <c r="B104" s="21" t="str">
        <f aca="false" t="array" ref="B104:B104">IFERROR(INDEX(Заказы!$A$3:$A$29,SMALL(IF(Заказы!$F$3:$F$29&gt;0,ROW(Заказы!$F$3:$F$29)-ROW(F$3)+1),19)),"")</f>
        <v/>
      </c>
      <c r="C104" s="20" t="str">
        <f aca="false">IF(B104="","",INDEX(Заказы!$F$3:$F$29,MATCH(B104,Заказы!$A$3:$A$29,0)))</f>
        <v/>
      </c>
      <c r="D104" s="20" t="str">
        <f aca="false">IF(B104="","",VLOOKUP(B104,Каталог!$A:$C,2,0))</f>
        <v/>
      </c>
      <c r="E104" s="22" t="str">
        <f aca="false">IF(B104="","",VLOOKUP(B104,Каталог!$A:$C,3,0))</f>
        <v/>
      </c>
      <c r="F104" s="22" t="str">
        <f aca="false">IF(B104="","",C104*E104)</f>
        <v/>
      </c>
      <c r="H104" s="20" t="str">
        <f aca="false">IF(I104="","",19)</f>
        <v/>
      </c>
      <c r="I104" s="21" t="str">
        <f aca="false" t="array" ref="I104:I104">IFERROR(INDEX(Заказы!$A$3:$A$29,SMALL(IF(Заказы!$G$3:$G$29&gt;0,ROW(Заказы!$G$3:$G$29)-ROW(G$3)+1),19)),"")</f>
        <v/>
      </c>
      <c r="J104" s="20" t="str">
        <f aca="false">IF(I104="","",INDEX(Заказы!$G$3:$G$29,MATCH(I104,Заказы!$A$3:$A$29,0)))</f>
        <v/>
      </c>
      <c r="K104" s="20" t="str">
        <f aca="false">IF(I104="","",VLOOKUP(I104,Каталог!$A:$C,2,0))</f>
        <v/>
      </c>
      <c r="L104" s="22" t="str">
        <f aca="false">IF(I104="","",VLOOKUP(I104,Каталог!$A:$C,3,0))</f>
        <v/>
      </c>
      <c r="M104" s="22" t="str">
        <f aca="false">IF(I104="","",J104*L104)</f>
        <v/>
      </c>
    </row>
    <row r="105" customFormat="false" ht="15" hidden="false" customHeight="false" outlineLevel="0" collapsed="false">
      <c r="A105" s="20" t="str">
        <f aca="false">IF(B105="","",20)</f>
        <v/>
      </c>
      <c r="B105" s="21" t="str">
        <f aca="false" t="array" ref="B105:B105">IFERROR(INDEX(Заказы!$A$3:$A$29,SMALL(IF(Заказы!$F$3:$F$29&gt;0,ROW(Заказы!$F$3:$F$29)-ROW(F$3)+1),20)),"")</f>
        <v/>
      </c>
      <c r="C105" s="20" t="str">
        <f aca="false">IF(B105="","",INDEX(Заказы!$F$3:$F$29,MATCH(B105,Заказы!$A$3:$A$29,0)))</f>
        <v/>
      </c>
      <c r="D105" s="20" t="str">
        <f aca="false">IF(B105="","",VLOOKUP(B105,Каталог!$A:$C,2,0))</f>
        <v/>
      </c>
      <c r="E105" s="22" t="str">
        <f aca="false">IF(B105="","",VLOOKUP(B105,Каталог!$A:$C,3,0))</f>
        <v/>
      </c>
      <c r="F105" s="22" t="str">
        <f aca="false">IF(B105="","",C105*E105)</f>
        <v/>
      </c>
      <c r="H105" s="20" t="str">
        <f aca="false">IF(I105="","",20)</f>
        <v/>
      </c>
      <c r="I105" s="21" t="str">
        <f aca="false" t="array" ref="I105:I105">IFERROR(INDEX(Заказы!$A$3:$A$29,SMALL(IF(Заказы!$G$3:$G$29&gt;0,ROW(Заказы!$G$3:$G$29)-ROW(G$3)+1),20)),"")</f>
        <v/>
      </c>
      <c r="J105" s="20" t="str">
        <f aca="false">IF(I105="","",INDEX(Заказы!$G$3:$G$29,MATCH(I105,Заказы!$A$3:$A$29,0)))</f>
        <v/>
      </c>
      <c r="K105" s="20" t="str">
        <f aca="false">IF(I105="","",VLOOKUP(I105,Каталог!$A:$C,2,0))</f>
        <v/>
      </c>
      <c r="L105" s="22" t="str">
        <f aca="false">IF(I105="","",VLOOKUP(I105,Каталог!$A:$C,3,0))</f>
        <v/>
      </c>
      <c r="M105" s="22" t="str">
        <f aca="false">IF(I105="","",J105*L105)</f>
        <v/>
      </c>
    </row>
    <row r="106" customFormat="false" ht="15" hidden="false" customHeight="false" outlineLevel="0" collapsed="false">
      <c r="A106" s="20" t="str">
        <f aca="false">IF(B106="","",21)</f>
        <v/>
      </c>
      <c r="B106" s="21" t="str">
        <f aca="false" t="array" ref="B106:B106">IFERROR(INDEX(Заказы!$A$3:$A$29,SMALL(IF(Заказы!$F$3:$F$29&gt;0,ROW(Заказы!$F$3:$F$29)-ROW(F$3)+1),21)),"")</f>
        <v/>
      </c>
      <c r="C106" s="20" t="str">
        <f aca="false">IF(B106="","",INDEX(Заказы!$F$3:$F$29,MATCH(B106,Заказы!$A$3:$A$29,0)))</f>
        <v/>
      </c>
      <c r="D106" s="20" t="str">
        <f aca="false">IF(B106="","",VLOOKUP(B106,Каталог!$A:$C,2,0))</f>
        <v/>
      </c>
      <c r="E106" s="22" t="str">
        <f aca="false">IF(B106="","",VLOOKUP(B106,Каталог!$A:$C,3,0))</f>
        <v/>
      </c>
      <c r="F106" s="22" t="str">
        <f aca="false">IF(B106="","",C106*E106)</f>
        <v/>
      </c>
      <c r="H106" s="20" t="str">
        <f aca="false">IF(I106="","",21)</f>
        <v/>
      </c>
      <c r="I106" s="21" t="str">
        <f aca="false" t="array" ref="I106:I106">IFERROR(INDEX(Заказы!$A$3:$A$29,SMALL(IF(Заказы!$G$3:$G$29&gt;0,ROW(Заказы!$G$3:$G$29)-ROW(G$3)+1),21)),"")</f>
        <v/>
      </c>
      <c r="J106" s="20" t="str">
        <f aca="false">IF(I106="","",INDEX(Заказы!$G$3:$G$29,MATCH(I106,Заказы!$A$3:$A$29,0)))</f>
        <v/>
      </c>
      <c r="K106" s="20" t="str">
        <f aca="false">IF(I106="","",VLOOKUP(I106,Каталог!$A:$C,2,0))</f>
        <v/>
      </c>
      <c r="L106" s="22" t="str">
        <f aca="false">IF(I106="","",VLOOKUP(I106,Каталог!$A:$C,3,0))</f>
        <v/>
      </c>
      <c r="M106" s="22" t="str">
        <f aca="false">IF(I106="","",J106*L106)</f>
        <v/>
      </c>
    </row>
    <row r="107" customFormat="false" ht="15" hidden="false" customHeight="false" outlineLevel="0" collapsed="false">
      <c r="A107" s="20" t="str">
        <f aca="false">IF(B107="","",22)</f>
        <v/>
      </c>
      <c r="B107" s="21" t="str">
        <f aca="false" t="array" ref="B107:B107">IFERROR(INDEX(Заказы!$A$3:$A$29,SMALL(IF(Заказы!$F$3:$F$29&gt;0,ROW(Заказы!$F$3:$F$29)-ROW(F$3)+1),22)),"")</f>
        <v/>
      </c>
      <c r="C107" s="20" t="str">
        <f aca="false">IF(B107="","",INDEX(Заказы!$F$3:$F$29,MATCH(B107,Заказы!$A$3:$A$29,0)))</f>
        <v/>
      </c>
      <c r="D107" s="20" t="str">
        <f aca="false">IF(B107="","",VLOOKUP(B107,Каталог!$A:$C,2,0))</f>
        <v/>
      </c>
      <c r="E107" s="22" t="str">
        <f aca="false">IF(B107="","",VLOOKUP(B107,Каталог!$A:$C,3,0))</f>
        <v/>
      </c>
      <c r="F107" s="22" t="str">
        <f aca="false">IF(B107="","",C107*E107)</f>
        <v/>
      </c>
      <c r="H107" s="20" t="str">
        <f aca="false">IF(I107="","",22)</f>
        <v/>
      </c>
      <c r="I107" s="21" t="str">
        <f aca="false" t="array" ref="I107:I107">IFERROR(INDEX(Заказы!$A$3:$A$29,SMALL(IF(Заказы!$G$3:$G$29&gt;0,ROW(Заказы!$G$3:$G$29)-ROW(G$3)+1),22)),"")</f>
        <v/>
      </c>
      <c r="J107" s="20" t="str">
        <f aca="false">IF(I107="","",INDEX(Заказы!$G$3:$G$29,MATCH(I107,Заказы!$A$3:$A$29,0)))</f>
        <v/>
      </c>
      <c r="K107" s="20" t="str">
        <f aca="false">IF(I107="","",VLOOKUP(I107,Каталог!$A:$C,2,0))</f>
        <v/>
      </c>
      <c r="L107" s="22" t="str">
        <f aca="false">IF(I107="","",VLOOKUP(I107,Каталог!$A:$C,3,0))</f>
        <v/>
      </c>
      <c r="M107" s="22" t="str">
        <f aca="false">IF(I107="","",J107*L107)</f>
        <v/>
      </c>
    </row>
    <row r="108" customFormat="false" ht="15" hidden="false" customHeight="false" outlineLevel="0" collapsed="false">
      <c r="A108" s="20" t="str">
        <f aca="false">IF(B108="","",23)</f>
        <v/>
      </c>
      <c r="B108" s="21" t="str">
        <f aca="false" t="array" ref="B108:B108">IFERROR(INDEX(Заказы!$A$3:$A$29,SMALL(IF(Заказы!$F$3:$F$29&gt;0,ROW(Заказы!$F$3:$F$29)-ROW(F$3)+1),23)),"")</f>
        <v/>
      </c>
      <c r="C108" s="20" t="str">
        <f aca="false">IF(B108="","",INDEX(Заказы!$F$3:$F$29,MATCH(B108,Заказы!$A$3:$A$29,0)))</f>
        <v/>
      </c>
      <c r="D108" s="20" t="str">
        <f aca="false">IF(B108="","",VLOOKUP(B108,Каталог!$A:$C,2,0))</f>
        <v/>
      </c>
      <c r="E108" s="22" t="str">
        <f aca="false">IF(B108="","",VLOOKUP(B108,Каталог!$A:$C,3,0))</f>
        <v/>
      </c>
      <c r="F108" s="22" t="str">
        <f aca="false">IF(B108="","",C108*E108)</f>
        <v/>
      </c>
      <c r="H108" s="20" t="str">
        <f aca="false">IF(I108="","",23)</f>
        <v/>
      </c>
      <c r="I108" s="21" t="str">
        <f aca="false" t="array" ref="I108:I108">IFERROR(INDEX(Заказы!$A$3:$A$29,SMALL(IF(Заказы!$G$3:$G$29&gt;0,ROW(Заказы!$G$3:$G$29)-ROW(G$3)+1),23)),"")</f>
        <v/>
      </c>
      <c r="J108" s="20" t="str">
        <f aca="false">IF(I108="","",INDEX(Заказы!$G$3:$G$29,MATCH(I108,Заказы!$A$3:$A$29,0)))</f>
        <v/>
      </c>
      <c r="K108" s="20" t="str">
        <f aca="false">IF(I108="","",VLOOKUP(I108,Каталог!$A:$C,2,0))</f>
        <v/>
      </c>
      <c r="L108" s="22" t="str">
        <f aca="false">IF(I108="","",VLOOKUP(I108,Каталог!$A:$C,3,0))</f>
        <v/>
      </c>
      <c r="M108" s="22" t="str">
        <f aca="false">IF(I108="","",J108*L108)</f>
        <v/>
      </c>
    </row>
    <row r="109" customFormat="false" ht="15" hidden="false" customHeight="false" outlineLevel="0" collapsed="false">
      <c r="A109" s="20" t="str">
        <f aca="false">IF(B109="","",24)</f>
        <v/>
      </c>
      <c r="B109" s="21" t="str">
        <f aca="false" t="array" ref="B109:B109">IFERROR(INDEX(Заказы!$A$3:$A$29,SMALL(IF(Заказы!$F$3:$F$29&gt;0,ROW(Заказы!$F$3:$F$29)-ROW(F$3)+1),24)),"")</f>
        <v/>
      </c>
      <c r="C109" s="20" t="str">
        <f aca="false">IF(B109="","",INDEX(Заказы!$F$3:$F$29,MATCH(B109,Заказы!$A$3:$A$29,0)))</f>
        <v/>
      </c>
      <c r="D109" s="20" t="str">
        <f aca="false">IF(B109="","",VLOOKUP(B109,Каталог!$A:$C,2,0))</f>
        <v/>
      </c>
      <c r="E109" s="22" t="str">
        <f aca="false">IF(B109="","",VLOOKUP(B109,Каталог!$A:$C,3,0))</f>
        <v/>
      </c>
      <c r="F109" s="22" t="str">
        <f aca="false">IF(B109="","",C109*E109)</f>
        <v/>
      </c>
      <c r="H109" s="20" t="str">
        <f aca="false">IF(I109="","",24)</f>
        <v/>
      </c>
      <c r="I109" s="21" t="str">
        <f aca="false" t="array" ref="I109:I109">IFERROR(INDEX(Заказы!$A$3:$A$29,SMALL(IF(Заказы!$G$3:$G$29&gt;0,ROW(Заказы!$G$3:$G$29)-ROW(G$3)+1),24)),"")</f>
        <v/>
      </c>
      <c r="J109" s="20" t="str">
        <f aca="false">IF(I109="","",INDEX(Заказы!$G$3:$G$29,MATCH(I109,Заказы!$A$3:$A$29,0)))</f>
        <v/>
      </c>
      <c r="K109" s="20" t="str">
        <f aca="false">IF(I109="","",VLOOKUP(I109,Каталог!$A:$C,2,0))</f>
        <v/>
      </c>
      <c r="L109" s="22" t="str">
        <f aca="false">IF(I109="","",VLOOKUP(I109,Каталог!$A:$C,3,0))</f>
        <v/>
      </c>
      <c r="M109" s="22" t="str">
        <f aca="false">IF(I109="","",J109*L109)</f>
        <v/>
      </c>
    </row>
    <row r="110" customFormat="false" ht="15" hidden="false" customHeight="false" outlineLevel="0" collapsed="false">
      <c r="A110" s="20" t="str">
        <f aca="false">IF(B110="","",25)</f>
        <v/>
      </c>
      <c r="B110" s="21" t="str">
        <f aca="false" t="array" ref="B110:B110">IFERROR(INDEX(Заказы!$A$3:$A$29,SMALL(IF(Заказы!$F$3:$F$29&gt;0,ROW(Заказы!$F$3:$F$29)-ROW(F$3)+1),25)),"")</f>
        <v/>
      </c>
      <c r="C110" s="20" t="str">
        <f aca="false">IF(B110="","",INDEX(Заказы!$F$3:$F$29,MATCH(B110,Заказы!$A$3:$A$29,0)))</f>
        <v/>
      </c>
      <c r="D110" s="20" t="str">
        <f aca="false">IF(B110="","",VLOOKUP(B110,Каталог!$A:$C,2,0))</f>
        <v/>
      </c>
      <c r="E110" s="22" t="str">
        <f aca="false">IF(B110="","",VLOOKUP(B110,Каталог!$A:$C,3,0))</f>
        <v/>
      </c>
      <c r="F110" s="22" t="str">
        <f aca="false">IF(B110="","",C110*E110)</f>
        <v/>
      </c>
      <c r="H110" s="20" t="str">
        <f aca="false">IF(I110="","",25)</f>
        <v/>
      </c>
      <c r="I110" s="21" t="str">
        <f aca="false" t="array" ref="I110:I110">IFERROR(INDEX(Заказы!$A$3:$A$29,SMALL(IF(Заказы!$G$3:$G$29&gt;0,ROW(Заказы!$G$3:$G$29)-ROW(G$3)+1),25)),"")</f>
        <v/>
      </c>
      <c r="J110" s="20" t="str">
        <f aca="false">IF(I110="","",INDEX(Заказы!$G$3:$G$29,MATCH(I110,Заказы!$A$3:$A$29,0)))</f>
        <v/>
      </c>
      <c r="K110" s="20" t="str">
        <f aca="false">IF(I110="","",VLOOKUP(I110,Каталог!$A:$C,2,0))</f>
        <v/>
      </c>
      <c r="L110" s="22" t="str">
        <f aca="false">IF(I110="","",VLOOKUP(I110,Каталог!$A:$C,3,0))</f>
        <v/>
      </c>
      <c r="M110" s="22" t="str">
        <f aca="false">IF(I110="","",J110*L110)</f>
        <v/>
      </c>
    </row>
    <row r="111" customFormat="false" ht="15" hidden="false" customHeight="false" outlineLevel="0" collapsed="false">
      <c r="A111" s="20" t="str">
        <f aca="false">IF(B111="","",26)</f>
        <v/>
      </c>
      <c r="B111" s="21" t="str">
        <f aca="false" t="array" ref="B111:B111">IFERROR(INDEX(Заказы!$A$3:$A$29,SMALL(IF(Заказы!$F$3:$F$29&gt;0,ROW(Заказы!$F$3:$F$29)-ROW(F$3)+1),26)),"")</f>
        <v/>
      </c>
      <c r="C111" s="20" t="str">
        <f aca="false">IF(B111="","",INDEX(Заказы!$F$3:$F$29,MATCH(B111,Заказы!$A$3:$A$29,0)))</f>
        <v/>
      </c>
      <c r="D111" s="20" t="str">
        <f aca="false">IF(B111="","",VLOOKUP(B111,Каталог!$A:$C,2,0))</f>
        <v/>
      </c>
      <c r="E111" s="22" t="str">
        <f aca="false">IF(B111="","",VLOOKUP(B111,Каталог!$A:$C,3,0))</f>
        <v/>
      </c>
      <c r="F111" s="22" t="str">
        <f aca="false">IF(B111="","",C111*E111)</f>
        <v/>
      </c>
      <c r="H111" s="20" t="str">
        <f aca="false">IF(I111="","",26)</f>
        <v/>
      </c>
      <c r="I111" s="21" t="str">
        <f aca="false" t="array" ref="I111:I111">IFERROR(INDEX(Заказы!$A$3:$A$29,SMALL(IF(Заказы!$G$3:$G$29&gt;0,ROW(Заказы!$G$3:$G$29)-ROW(G$3)+1),26)),"")</f>
        <v/>
      </c>
      <c r="J111" s="20" t="str">
        <f aca="false">IF(I111="","",INDEX(Заказы!$G$3:$G$29,MATCH(I111,Заказы!$A$3:$A$29,0)))</f>
        <v/>
      </c>
      <c r="K111" s="20" t="str">
        <f aca="false">IF(I111="","",VLOOKUP(I111,Каталог!$A:$C,2,0))</f>
        <v/>
      </c>
      <c r="L111" s="22" t="str">
        <f aca="false">IF(I111="","",VLOOKUP(I111,Каталог!$A:$C,3,0))</f>
        <v/>
      </c>
      <c r="M111" s="22" t="str">
        <f aca="false">IF(I111="","",J111*L111)</f>
        <v/>
      </c>
    </row>
    <row r="112" customFormat="false" ht="15" hidden="false" customHeight="false" outlineLevel="0" collapsed="false">
      <c r="A112" s="20" t="str">
        <f aca="false">IF(B112="","",27)</f>
        <v/>
      </c>
      <c r="B112" s="21" t="str">
        <f aca="false" t="array" ref="B112:B112">IFERROR(INDEX(Заказы!$A$3:$A$29,SMALL(IF(Заказы!$F$3:$F$29&gt;0,ROW(Заказы!$F$3:$F$29)-ROW(F$3)+1),27)),"")</f>
        <v/>
      </c>
      <c r="C112" s="20" t="str">
        <f aca="false">IF(B112="","",INDEX(Заказы!$F$3:$F$29,MATCH(B112,Заказы!$A$3:$A$29,0)))</f>
        <v/>
      </c>
      <c r="D112" s="20" t="str">
        <f aca="false">IF(B112="","",VLOOKUP(B112,Каталог!$A:$C,2,0))</f>
        <v/>
      </c>
      <c r="E112" s="22" t="str">
        <f aca="false">IF(B112="","",VLOOKUP(B112,Каталог!$A:$C,3,0))</f>
        <v/>
      </c>
      <c r="F112" s="22" t="str">
        <f aca="false">IF(B112="","",C112*E112)</f>
        <v/>
      </c>
      <c r="H112" s="20" t="str">
        <f aca="false">IF(I112="","",27)</f>
        <v/>
      </c>
      <c r="I112" s="21" t="str">
        <f aca="false" t="array" ref="I112:I112">IFERROR(INDEX(Заказы!$A$3:$A$29,SMALL(IF(Заказы!$G$3:$G$29&gt;0,ROW(Заказы!$G$3:$G$29)-ROW(G$3)+1),27)),"")</f>
        <v/>
      </c>
      <c r="J112" s="20" t="str">
        <f aca="false">IF(I112="","",INDEX(Заказы!$G$3:$G$29,MATCH(I112,Заказы!$A$3:$A$29,0)))</f>
        <v/>
      </c>
      <c r="K112" s="20" t="str">
        <f aca="false">IF(I112="","",VLOOKUP(I112,Каталог!$A:$C,2,0))</f>
        <v/>
      </c>
      <c r="L112" s="22" t="str">
        <f aca="false">IF(I112="","",VLOOKUP(I112,Каталог!$A:$C,3,0))</f>
        <v/>
      </c>
      <c r="M112" s="22" t="str">
        <f aca="false">IF(I112="","",J112*L112)</f>
        <v/>
      </c>
    </row>
    <row r="113" customFormat="false" ht="15" hidden="false" customHeight="false" outlineLevel="0" collapsed="false">
      <c r="A113" s="23"/>
      <c r="B113" s="23"/>
      <c r="C113" s="23"/>
      <c r="D113" s="23"/>
      <c r="E113" s="23"/>
      <c r="F113" s="23"/>
      <c r="H113" s="23"/>
      <c r="I113" s="23"/>
      <c r="J113" s="23"/>
      <c r="K113" s="23"/>
      <c r="L113" s="23"/>
      <c r="M113" s="23"/>
    </row>
    <row r="114" customFormat="false" ht="15" hidden="false" customHeight="false" outlineLevel="0" collapsed="false">
      <c r="A114" s="24" t="str">
        <f aca="false">IF(COUNTIF(Заказы!$F$3:$F$29,"&gt;0")=0,"","Итого:")</f>
        <v>Итого:</v>
      </c>
      <c r="B114" s="24"/>
      <c r="C114" s="24"/>
      <c r="D114" s="24"/>
      <c r="E114" s="25" t="n">
        <f aca="false">IF(COUNTIF(Заказы!$F$3:$F$29,"&gt;0")=0,"",SUM(F86:F112))</f>
        <v>9480</v>
      </c>
      <c r="F114" s="25"/>
      <c r="H114" s="24" t="str">
        <f aca="false">IF(COUNTIF(Заказы!$G$3:$G$29,"&gt;0")=0,"","Итого:")</f>
        <v>Итого:</v>
      </c>
      <c r="I114" s="24"/>
      <c r="J114" s="24"/>
      <c r="K114" s="24"/>
      <c r="L114" s="25" t="n">
        <f aca="false">IF(COUNTIF(Заказы!$G$3:$G$29,"&gt;0")=0,"",SUM(M86:M112))</f>
        <v>7210</v>
      </c>
      <c r="M114" s="25"/>
    </row>
    <row r="116" customFormat="false" ht="15" hidden="false" customHeight="false" outlineLevel="0" collapsed="false">
      <c r="A116" s="18" t="str">
        <f aca="false">IF(COUNTIF(Заказы!$F$3:$F$29,"&gt;0")=0,"","Подпись отправителя: __________________")</f>
        <v>Подпись отправителя: __________________</v>
      </c>
      <c r="B116" s="18"/>
      <c r="C116" s="18"/>
      <c r="D116" s="18"/>
      <c r="E116" s="18"/>
      <c r="F116" s="18"/>
      <c r="H116" s="18" t="str">
        <f aca="false">IF(COUNTIF(Заказы!$G$3:$G$29,"&gt;0")=0,"","Подпись отправителя: __________________")</f>
        <v>Подпись отправителя: __________________</v>
      </c>
      <c r="I116" s="18"/>
      <c r="J116" s="18"/>
      <c r="K116" s="18"/>
      <c r="L116" s="18"/>
      <c r="M116" s="18"/>
    </row>
    <row r="117" customFormat="false" ht="15" hidden="false" customHeight="false" outlineLevel="0" collapsed="false">
      <c r="A117" s="18" t="str">
        <f aca="false">IF(COUNTIF(Заказы!$F$3:$F$29,"&gt;0")=0,"","Подпись получателя: ___________________")</f>
        <v>Подпись получателя: ___________________</v>
      </c>
      <c r="B117" s="18"/>
      <c r="C117" s="18"/>
      <c r="D117" s="18"/>
      <c r="E117" s="18"/>
      <c r="F117" s="18"/>
      <c r="H117" s="18" t="str">
        <f aca="false">IF(COUNTIF(Заказы!$G$3:$G$29,"&gt;0")=0,"","Подпись получателя: ___________________")</f>
        <v>Подпись получателя: ___________________</v>
      </c>
      <c r="I117" s="18"/>
      <c r="J117" s="18"/>
      <c r="K117" s="18"/>
      <c r="L117" s="18"/>
      <c r="M117" s="18"/>
    </row>
    <row r="119" customFormat="false" ht="17.35" hidden="false" customHeight="false" outlineLevel="0" collapsed="false">
      <c r="A119" s="17" t="str">
        <f aca="false">IF(COUNTIF(Заказы!$H$3:$H$29,"&gt;0")=0,"","НАКЛАДНАЯ")</f>
        <v/>
      </c>
      <c r="B119" s="17"/>
      <c r="C119" s="17"/>
      <c r="D119" s="17"/>
      <c r="E119" s="17"/>
      <c r="F119" s="17"/>
      <c r="H119" s="17" t="str">
        <f aca="false">IF(COUNTIF(Заказы!$I$3:$I$29,"&gt;0")=0,"","НАКЛАДНАЯ")</f>
        <v/>
      </c>
      <c r="I119" s="17"/>
      <c r="J119" s="17"/>
      <c r="K119" s="17"/>
      <c r="L119" s="17"/>
      <c r="M119" s="17"/>
    </row>
    <row r="120" customFormat="false" ht="15" hidden="false" customHeight="false" outlineLevel="0" collapsed="false">
      <c r="A120" s="18" t="str">
        <f aca="false">IF(COUNTIF(Заказы!$H$3:$H$29,"&gt;0")=0,"","Отправитель: Brown кондитерский цех")</f>
        <v/>
      </c>
      <c r="B120" s="18"/>
      <c r="C120" s="18"/>
      <c r="D120" s="18"/>
      <c r="E120" s="18"/>
      <c r="F120" s="18"/>
      <c r="H120" s="18" t="str">
        <f aca="false">IF(COUNTIF(Заказы!$I$3:$I$29,"&gt;0")=0,"","Отправитель: Brown кондитерский цех")</f>
        <v/>
      </c>
      <c r="I120" s="18"/>
      <c r="J120" s="18"/>
      <c r="K120" s="18"/>
      <c r="L120" s="18"/>
      <c r="M120" s="18"/>
    </row>
    <row r="121" customFormat="false" ht="15" hidden="false" customHeight="false" outlineLevel="0" collapsed="false">
      <c r="A121" s="18" t="str">
        <f aca="false">IF(COUNTIF(Заказы!$H$3:$H$29,"&gt;0")=0,"","Получатель: "&amp;Заказы!H$2)</f>
        <v/>
      </c>
      <c r="B121" s="18"/>
      <c r="C121" s="18"/>
      <c r="D121" s="18"/>
      <c r="E121" s="18"/>
      <c r="F121" s="18"/>
      <c r="H121" s="18" t="str">
        <f aca="false">IF(COUNTIF(Заказы!$I$3:$I$29,"&gt;0")=0,"","Получатель: "&amp;Заказы!I$2)</f>
        <v/>
      </c>
      <c r="I121" s="18"/>
      <c r="J121" s="18"/>
      <c r="K121" s="18"/>
      <c r="L121" s="18"/>
      <c r="M121" s="18"/>
    </row>
    <row r="122" customFormat="false" ht="15" hidden="false" customHeight="false" outlineLevel="0" collapsed="false">
      <c r="A122" s="19" t="str">
        <f aca="false">IF(COUNTIF(Заказы!$H$3:$H$29,"&gt;0")=0,"","Накладная от: "&amp;TEXT(Заказы!$B$1,"dd.mm.yyyy"))</f>
        <v/>
      </c>
      <c r="B122" s="19"/>
      <c r="C122" s="19"/>
      <c r="D122" s="19"/>
      <c r="E122" s="19"/>
      <c r="F122" s="19"/>
      <c r="H122" s="19" t="str">
        <f aca="false">IF(COUNTIF(Заказы!$I$3:$I$29,"&gt;0")=0,"","Накладная от: "&amp;TEXT(Заказы!$B$1,"dd.mm.yyyy"))</f>
        <v/>
      </c>
      <c r="I122" s="19"/>
      <c r="J122" s="19"/>
      <c r="K122" s="19"/>
      <c r="L122" s="19"/>
      <c r="M122" s="19"/>
    </row>
    <row r="124" customFormat="false" ht="15" hidden="false" customHeight="false" outlineLevel="0" collapsed="false">
      <c r="A124" s="4" t="str">
        <f aca="false">IF(COUNTIF(Заказы!$H$3:$H$29,"&gt;0")=0,"","№")</f>
        <v/>
      </c>
      <c r="B124" s="4" t="str">
        <f aca="false">IF(COUNTIF(Заказы!$H$3:$H$29,"&gt;0")=0,"","Наименование")</f>
        <v/>
      </c>
      <c r="C124" s="4" t="str">
        <f aca="false">IF(COUNTIF(Заказы!$H$3:$H$29,"&gt;0")=0,"","Кол.")</f>
        <v/>
      </c>
      <c r="D124" s="4" t="str">
        <f aca="false">IF(COUNTIF(Заказы!$H$3:$H$29,"&gt;0")=0,"","Ед.")</f>
        <v/>
      </c>
      <c r="E124" s="4" t="str">
        <f aca="false">IF(COUNTIF(Заказы!$H$3:$H$29,"&gt;0")=0,"","Цена")</f>
        <v/>
      </c>
      <c r="F124" s="4" t="str">
        <f aca="false">IF(COUNTIF(Заказы!$H$3:$H$29,"&gt;0")=0,"","Сумма")</f>
        <v/>
      </c>
      <c r="H124" s="4" t="str">
        <f aca="false">IF(COUNTIF(Заказы!$I$3:$I$29,"&gt;0")=0,"","№")</f>
        <v/>
      </c>
      <c r="I124" s="4" t="str">
        <f aca="false">IF(COUNTIF(Заказы!$I$3:$I$29,"&gt;0")=0,"","Наименование")</f>
        <v/>
      </c>
      <c r="J124" s="4" t="str">
        <f aca="false">IF(COUNTIF(Заказы!$I$3:$I$29,"&gt;0")=0,"","Кол.")</f>
        <v/>
      </c>
      <c r="K124" s="4" t="str">
        <f aca="false">IF(COUNTIF(Заказы!$I$3:$I$29,"&gt;0")=0,"","Ед.")</f>
        <v/>
      </c>
      <c r="L124" s="4" t="str">
        <f aca="false">IF(COUNTIF(Заказы!$I$3:$I$29,"&gt;0")=0,"","Цена")</f>
        <v/>
      </c>
      <c r="M124" s="4" t="str">
        <f aca="false">IF(COUNTIF(Заказы!$I$3:$I$29,"&gt;0")=0,"","Сумма")</f>
        <v/>
      </c>
    </row>
    <row r="125" customFormat="false" ht="15" hidden="false" customHeight="false" outlineLevel="0" collapsed="false">
      <c r="A125" s="26" t="str">
        <f aca="false">IF(B125="","",1)</f>
        <v/>
      </c>
      <c r="B125" s="21" t="str">
        <f aca="false" t="array" ref="B125:B125">IFERROR(INDEX(Заказы!$A$3:$A$29,SMALL(IF(Заказы!$H$3:$H$29&gt;0,ROW(Заказы!$H$3:$H$29)-ROW(H$3)+1),1)),"")</f>
        <v/>
      </c>
      <c r="C125" s="26" t="str">
        <f aca="false">IF(B125="","",INDEX(Заказы!$H$3:$H$29,MATCH(B125,Заказы!$A$3:$A$29,0)))</f>
        <v/>
      </c>
      <c r="D125" s="26" t="str">
        <f aca="false">IF(B125="","",VLOOKUP(B125,Каталог!$A:$C,2,0))</f>
        <v/>
      </c>
      <c r="E125" s="22" t="str">
        <f aca="false">IF(B125="","",VLOOKUP(B125,Каталог!$A:$C,3,0))</f>
        <v/>
      </c>
      <c r="F125" s="22" t="str">
        <f aca="false">IF(B125="","",C125*E125)</f>
        <v/>
      </c>
      <c r="H125" s="26" t="str">
        <f aca="false">IF(I125="","",1)</f>
        <v/>
      </c>
      <c r="I125" s="21" t="str">
        <f aca="false" t="array" ref="I125:I125">IFERROR(INDEX(Заказы!$A$3:$A$29,SMALL(IF(Заказы!$I$3:$I$29&gt;0,ROW(Заказы!$I$3:$I$29)-ROW(I$3)+1),1)),"")</f>
        <v/>
      </c>
      <c r="J125" s="26" t="str">
        <f aca="false">IF(I125="","",INDEX(Заказы!$I$3:$I$29,MATCH(I125,Заказы!$A$3:$A$29,0)))</f>
        <v/>
      </c>
      <c r="K125" s="26" t="str">
        <f aca="false">IF(I125="","",VLOOKUP(I125,Каталог!$A:$C,2,0))</f>
        <v/>
      </c>
      <c r="L125" s="22" t="str">
        <f aca="false">IF(I125="","",VLOOKUP(I125,Каталог!$A:$C,3,0))</f>
        <v/>
      </c>
      <c r="M125" s="22" t="str">
        <f aca="false">IF(I125="","",J125*L125)</f>
        <v/>
      </c>
    </row>
    <row r="126" customFormat="false" ht="15" hidden="false" customHeight="false" outlineLevel="0" collapsed="false">
      <c r="A126" s="26" t="str">
        <f aca="false">IF(B126="","",2)</f>
        <v/>
      </c>
      <c r="B126" s="21" t="str">
        <f aca="false" t="array" ref="B126:B126">IFERROR(INDEX(Заказы!$A$3:$A$29,SMALL(IF(Заказы!$H$3:$H$29&gt;0,ROW(Заказы!$H$3:$H$29)-ROW(H$3)+1),2)),"")</f>
        <v/>
      </c>
      <c r="C126" s="26" t="str">
        <f aca="false">IF(B126="","",INDEX(Заказы!$H$3:$H$29,MATCH(B126,Заказы!$A$3:$A$29,0)))</f>
        <v/>
      </c>
      <c r="D126" s="26" t="str">
        <f aca="false">IF(B126="","",VLOOKUP(B126,Каталог!$A:$C,2,0))</f>
        <v/>
      </c>
      <c r="E126" s="22" t="str">
        <f aca="false">IF(B126="","",VLOOKUP(B126,Каталог!$A:$C,3,0))</f>
        <v/>
      </c>
      <c r="F126" s="22" t="str">
        <f aca="false">IF(B126="","",C126*E126)</f>
        <v/>
      </c>
      <c r="H126" s="26" t="str">
        <f aca="false">IF(I126="","",2)</f>
        <v/>
      </c>
      <c r="I126" s="21" t="str">
        <f aca="false" t="array" ref="I126:I126">IFERROR(INDEX(Заказы!$A$3:$A$29,SMALL(IF(Заказы!$I$3:$I$29&gt;0,ROW(Заказы!$I$3:$I$29)-ROW(I$3)+1),2)),"")</f>
        <v/>
      </c>
      <c r="J126" s="26" t="str">
        <f aca="false">IF(I126="","",INDEX(Заказы!$I$3:$I$29,MATCH(I126,Заказы!$A$3:$A$29,0)))</f>
        <v/>
      </c>
      <c r="K126" s="26" t="str">
        <f aca="false">IF(I126="","",VLOOKUP(I126,Каталог!$A:$C,2,0))</f>
        <v/>
      </c>
      <c r="L126" s="22" t="str">
        <f aca="false">IF(I126="","",VLOOKUP(I126,Каталог!$A:$C,3,0))</f>
        <v/>
      </c>
      <c r="M126" s="22" t="str">
        <f aca="false">IF(I126="","",J126*L126)</f>
        <v/>
      </c>
    </row>
    <row r="127" customFormat="false" ht="15" hidden="false" customHeight="false" outlineLevel="0" collapsed="false">
      <c r="A127" s="26" t="str">
        <f aca="false">IF(B127="","",3)</f>
        <v/>
      </c>
      <c r="B127" s="21" t="str">
        <f aca="false" t="array" ref="B127:B127">IFERROR(INDEX(Заказы!$A$3:$A$29,SMALL(IF(Заказы!$H$3:$H$29&gt;0,ROW(Заказы!$H$3:$H$29)-ROW(H$3)+1),3)),"")</f>
        <v/>
      </c>
      <c r="C127" s="26" t="str">
        <f aca="false">IF(B127="","",INDEX(Заказы!$H$3:$H$29,MATCH(B127,Заказы!$A$3:$A$29,0)))</f>
        <v/>
      </c>
      <c r="D127" s="26" t="str">
        <f aca="false">IF(B127="","",VLOOKUP(B127,Каталог!$A:$C,2,0))</f>
        <v/>
      </c>
      <c r="E127" s="22" t="str">
        <f aca="false">IF(B127="","",VLOOKUP(B127,Каталог!$A:$C,3,0))</f>
        <v/>
      </c>
      <c r="F127" s="22" t="str">
        <f aca="false">IF(B127="","",C127*E127)</f>
        <v/>
      </c>
      <c r="H127" s="26" t="str">
        <f aca="false">IF(I127="","",3)</f>
        <v/>
      </c>
      <c r="I127" s="21" t="str">
        <f aca="false" t="array" ref="I127:I127">IFERROR(INDEX(Заказы!$A$3:$A$29,SMALL(IF(Заказы!$I$3:$I$29&gt;0,ROW(Заказы!$I$3:$I$29)-ROW(I$3)+1),3)),"")</f>
        <v/>
      </c>
      <c r="J127" s="26" t="str">
        <f aca="false">IF(I127="","",INDEX(Заказы!$I$3:$I$29,MATCH(I127,Заказы!$A$3:$A$29,0)))</f>
        <v/>
      </c>
      <c r="K127" s="26" t="str">
        <f aca="false">IF(I127="","",VLOOKUP(I127,Каталог!$A:$C,2,0))</f>
        <v/>
      </c>
      <c r="L127" s="22" t="str">
        <f aca="false">IF(I127="","",VLOOKUP(I127,Каталог!$A:$C,3,0))</f>
        <v/>
      </c>
      <c r="M127" s="22" t="str">
        <f aca="false">IF(I127="","",J127*L127)</f>
        <v/>
      </c>
    </row>
    <row r="128" customFormat="false" ht="15" hidden="false" customHeight="false" outlineLevel="0" collapsed="false">
      <c r="A128" s="26" t="str">
        <f aca="false">IF(B128="","",4)</f>
        <v/>
      </c>
      <c r="B128" s="21" t="str">
        <f aca="false" t="array" ref="B128:B128">IFERROR(INDEX(Заказы!$A$3:$A$29,SMALL(IF(Заказы!$H$3:$H$29&gt;0,ROW(Заказы!$H$3:$H$29)-ROW(H$3)+1),4)),"")</f>
        <v/>
      </c>
      <c r="C128" s="26" t="str">
        <f aca="false">IF(B128="","",INDEX(Заказы!$H$3:$H$29,MATCH(B128,Заказы!$A$3:$A$29,0)))</f>
        <v/>
      </c>
      <c r="D128" s="26" t="str">
        <f aca="false">IF(B128="","",VLOOKUP(B128,Каталог!$A:$C,2,0))</f>
        <v/>
      </c>
      <c r="E128" s="22" t="str">
        <f aca="false">IF(B128="","",VLOOKUP(B128,Каталог!$A:$C,3,0))</f>
        <v/>
      </c>
      <c r="F128" s="22" t="str">
        <f aca="false">IF(B128="","",C128*E128)</f>
        <v/>
      </c>
      <c r="H128" s="26" t="str">
        <f aca="false">IF(I128="","",4)</f>
        <v/>
      </c>
      <c r="I128" s="21" t="str">
        <f aca="false" t="array" ref="I128:I128">IFERROR(INDEX(Заказы!$A$3:$A$29,SMALL(IF(Заказы!$I$3:$I$29&gt;0,ROW(Заказы!$I$3:$I$29)-ROW(I$3)+1),4)),"")</f>
        <v/>
      </c>
      <c r="J128" s="26" t="str">
        <f aca="false">IF(I128="","",INDEX(Заказы!$I$3:$I$29,MATCH(I128,Заказы!$A$3:$A$29,0)))</f>
        <v/>
      </c>
      <c r="K128" s="26" t="str">
        <f aca="false">IF(I128="","",VLOOKUP(I128,Каталог!$A:$C,2,0))</f>
        <v/>
      </c>
      <c r="L128" s="22" t="str">
        <f aca="false">IF(I128="","",VLOOKUP(I128,Каталог!$A:$C,3,0))</f>
        <v/>
      </c>
      <c r="M128" s="22" t="str">
        <f aca="false">IF(I128="","",J128*L128)</f>
        <v/>
      </c>
    </row>
    <row r="129" customFormat="false" ht="15" hidden="false" customHeight="false" outlineLevel="0" collapsed="false">
      <c r="A129" s="26" t="str">
        <f aca="false">IF(B129="","",5)</f>
        <v/>
      </c>
      <c r="B129" s="21" t="str">
        <f aca="false" t="array" ref="B129:B129">IFERROR(INDEX(Заказы!$A$3:$A$29,SMALL(IF(Заказы!$H$3:$H$29&gt;0,ROW(Заказы!$H$3:$H$29)-ROW(H$3)+1),5)),"")</f>
        <v/>
      </c>
      <c r="C129" s="26" t="str">
        <f aca="false">IF(B129="","",INDEX(Заказы!$H$3:$H$29,MATCH(B129,Заказы!$A$3:$A$29,0)))</f>
        <v/>
      </c>
      <c r="D129" s="26" t="str">
        <f aca="false">IF(B129="","",VLOOKUP(B129,Каталог!$A:$C,2,0))</f>
        <v/>
      </c>
      <c r="E129" s="22" t="str">
        <f aca="false">IF(B129="","",VLOOKUP(B129,Каталог!$A:$C,3,0))</f>
        <v/>
      </c>
      <c r="F129" s="22" t="str">
        <f aca="false">IF(B129="","",C129*E129)</f>
        <v/>
      </c>
      <c r="H129" s="26" t="str">
        <f aca="false">IF(I129="","",5)</f>
        <v/>
      </c>
      <c r="I129" s="21" t="str">
        <f aca="false" t="array" ref="I129:I129">IFERROR(INDEX(Заказы!$A$3:$A$29,SMALL(IF(Заказы!$I$3:$I$29&gt;0,ROW(Заказы!$I$3:$I$29)-ROW(I$3)+1),5)),"")</f>
        <v/>
      </c>
      <c r="J129" s="26" t="str">
        <f aca="false">IF(I129="","",INDEX(Заказы!$I$3:$I$29,MATCH(I129,Заказы!$A$3:$A$29,0)))</f>
        <v/>
      </c>
      <c r="K129" s="26" t="str">
        <f aca="false">IF(I129="","",VLOOKUP(I129,Каталог!$A:$C,2,0))</f>
        <v/>
      </c>
      <c r="L129" s="22" t="str">
        <f aca="false">IF(I129="","",VLOOKUP(I129,Каталог!$A:$C,3,0))</f>
        <v/>
      </c>
      <c r="M129" s="22" t="str">
        <f aca="false">IF(I129="","",J129*L129)</f>
        <v/>
      </c>
    </row>
    <row r="130" customFormat="false" ht="15" hidden="false" customHeight="false" outlineLevel="0" collapsed="false">
      <c r="A130" s="26" t="str">
        <f aca="false">IF(B130="","",6)</f>
        <v/>
      </c>
      <c r="B130" s="21" t="str">
        <f aca="false" t="array" ref="B130:B130">IFERROR(INDEX(Заказы!$A$3:$A$29,SMALL(IF(Заказы!$H$3:$H$29&gt;0,ROW(Заказы!$H$3:$H$29)-ROW(H$3)+1),6)),"")</f>
        <v/>
      </c>
      <c r="C130" s="26" t="str">
        <f aca="false">IF(B130="","",INDEX(Заказы!$H$3:$H$29,MATCH(B130,Заказы!$A$3:$A$29,0)))</f>
        <v/>
      </c>
      <c r="D130" s="26" t="str">
        <f aca="false">IF(B130="","",VLOOKUP(B130,Каталог!$A:$C,2,0))</f>
        <v/>
      </c>
      <c r="E130" s="22" t="str">
        <f aca="false">IF(B130="","",VLOOKUP(B130,Каталог!$A:$C,3,0))</f>
        <v/>
      </c>
      <c r="F130" s="22" t="str">
        <f aca="false">IF(B130="","",C130*E130)</f>
        <v/>
      </c>
      <c r="H130" s="26" t="str">
        <f aca="false">IF(I130="","",6)</f>
        <v/>
      </c>
      <c r="I130" s="21" t="str">
        <f aca="false" t="array" ref="I130:I130">IFERROR(INDEX(Заказы!$A$3:$A$29,SMALL(IF(Заказы!$I$3:$I$29&gt;0,ROW(Заказы!$I$3:$I$29)-ROW(I$3)+1),6)),"")</f>
        <v/>
      </c>
      <c r="J130" s="26" t="str">
        <f aca="false">IF(I130="","",INDEX(Заказы!$I$3:$I$29,MATCH(I130,Заказы!$A$3:$A$29,0)))</f>
        <v/>
      </c>
      <c r="K130" s="26" t="str">
        <f aca="false">IF(I130="","",VLOOKUP(I130,Каталог!$A:$C,2,0))</f>
        <v/>
      </c>
      <c r="L130" s="22" t="str">
        <f aca="false">IF(I130="","",VLOOKUP(I130,Каталог!$A:$C,3,0))</f>
        <v/>
      </c>
      <c r="M130" s="22" t="str">
        <f aca="false">IF(I130="","",J130*L130)</f>
        <v/>
      </c>
    </row>
    <row r="131" customFormat="false" ht="15" hidden="false" customHeight="false" outlineLevel="0" collapsed="false">
      <c r="A131" s="26" t="str">
        <f aca="false">IF(B131="","",7)</f>
        <v/>
      </c>
      <c r="B131" s="21" t="str">
        <f aca="false" t="array" ref="B131:B131">IFERROR(INDEX(Заказы!$A$3:$A$29,SMALL(IF(Заказы!$H$3:$H$29&gt;0,ROW(Заказы!$H$3:$H$29)-ROW(H$3)+1),7)),"")</f>
        <v/>
      </c>
      <c r="C131" s="26" t="str">
        <f aca="false">IF(B131="","",INDEX(Заказы!$H$3:$H$29,MATCH(B131,Заказы!$A$3:$A$29,0)))</f>
        <v/>
      </c>
      <c r="D131" s="26" t="str">
        <f aca="false">IF(B131="","",VLOOKUP(B131,Каталог!$A:$C,2,0))</f>
        <v/>
      </c>
      <c r="E131" s="22" t="str">
        <f aca="false">IF(B131="","",VLOOKUP(B131,Каталог!$A:$C,3,0))</f>
        <v/>
      </c>
      <c r="F131" s="22" t="str">
        <f aca="false">IF(B131="","",C131*E131)</f>
        <v/>
      </c>
      <c r="H131" s="26" t="str">
        <f aca="false">IF(I131="","",7)</f>
        <v/>
      </c>
      <c r="I131" s="21" t="str">
        <f aca="false" t="array" ref="I131:I131">IFERROR(INDEX(Заказы!$A$3:$A$29,SMALL(IF(Заказы!$I$3:$I$29&gt;0,ROW(Заказы!$I$3:$I$29)-ROW(I$3)+1),7)),"")</f>
        <v/>
      </c>
      <c r="J131" s="26" t="str">
        <f aca="false">IF(I131="","",INDEX(Заказы!$I$3:$I$29,MATCH(I131,Заказы!$A$3:$A$29,0)))</f>
        <v/>
      </c>
      <c r="K131" s="26" t="str">
        <f aca="false">IF(I131="","",VLOOKUP(I131,Каталог!$A:$C,2,0))</f>
        <v/>
      </c>
      <c r="L131" s="22" t="str">
        <f aca="false">IF(I131="","",VLOOKUP(I131,Каталог!$A:$C,3,0))</f>
        <v/>
      </c>
      <c r="M131" s="22" t="str">
        <f aca="false">IF(I131="","",J131*L131)</f>
        <v/>
      </c>
    </row>
    <row r="132" customFormat="false" ht="15" hidden="false" customHeight="false" outlineLevel="0" collapsed="false">
      <c r="A132" s="26" t="str">
        <f aca="false">IF(B132="","",8)</f>
        <v/>
      </c>
      <c r="B132" s="21" t="str">
        <f aca="false" t="array" ref="B132:B132">IFERROR(INDEX(Заказы!$A$3:$A$29,SMALL(IF(Заказы!$H$3:$H$29&gt;0,ROW(Заказы!$H$3:$H$29)-ROW(H$3)+1),8)),"")</f>
        <v/>
      </c>
      <c r="C132" s="26" t="str">
        <f aca="false">IF(B132="","",INDEX(Заказы!$H$3:$H$29,MATCH(B132,Заказы!$A$3:$A$29,0)))</f>
        <v/>
      </c>
      <c r="D132" s="26" t="str">
        <f aca="false">IF(B132="","",VLOOKUP(B132,Каталог!$A:$C,2,0))</f>
        <v/>
      </c>
      <c r="E132" s="22" t="str">
        <f aca="false">IF(B132="","",VLOOKUP(B132,Каталог!$A:$C,3,0))</f>
        <v/>
      </c>
      <c r="F132" s="22" t="str">
        <f aca="false">IF(B132="","",C132*E132)</f>
        <v/>
      </c>
      <c r="H132" s="26" t="str">
        <f aca="false">IF(I132="","",8)</f>
        <v/>
      </c>
      <c r="I132" s="21" t="str">
        <f aca="false" t="array" ref="I132:I132">IFERROR(INDEX(Заказы!$A$3:$A$29,SMALL(IF(Заказы!$I$3:$I$29&gt;0,ROW(Заказы!$I$3:$I$29)-ROW(I$3)+1),8)),"")</f>
        <v/>
      </c>
      <c r="J132" s="26" t="str">
        <f aca="false">IF(I132="","",INDEX(Заказы!$I$3:$I$29,MATCH(I132,Заказы!$A$3:$A$29,0)))</f>
        <v/>
      </c>
      <c r="K132" s="26" t="str">
        <f aca="false">IF(I132="","",VLOOKUP(I132,Каталог!$A:$C,2,0))</f>
        <v/>
      </c>
      <c r="L132" s="22" t="str">
        <f aca="false">IF(I132="","",VLOOKUP(I132,Каталог!$A:$C,3,0))</f>
        <v/>
      </c>
      <c r="M132" s="22" t="str">
        <f aca="false">IF(I132="","",J132*L132)</f>
        <v/>
      </c>
    </row>
    <row r="133" customFormat="false" ht="15" hidden="false" customHeight="false" outlineLevel="0" collapsed="false">
      <c r="A133" s="26" t="str">
        <f aca="false">IF(B133="","",9)</f>
        <v/>
      </c>
      <c r="B133" s="21" t="str">
        <f aca="false" t="array" ref="B133:B133">IFERROR(INDEX(Заказы!$A$3:$A$29,SMALL(IF(Заказы!$H$3:$H$29&gt;0,ROW(Заказы!$H$3:$H$29)-ROW(H$3)+1),9)),"")</f>
        <v/>
      </c>
      <c r="C133" s="26" t="str">
        <f aca="false">IF(B133="","",INDEX(Заказы!$H$3:$H$29,MATCH(B133,Заказы!$A$3:$A$29,0)))</f>
        <v/>
      </c>
      <c r="D133" s="26" t="str">
        <f aca="false">IF(B133="","",VLOOKUP(B133,Каталог!$A:$C,2,0))</f>
        <v/>
      </c>
      <c r="E133" s="22" t="str">
        <f aca="false">IF(B133="","",VLOOKUP(B133,Каталог!$A:$C,3,0))</f>
        <v/>
      </c>
      <c r="F133" s="22" t="str">
        <f aca="false">IF(B133="","",C133*E133)</f>
        <v/>
      </c>
      <c r="H133" s="26" t="str">
        <f aca="false">IF(I133="","",9)</f>
        <v/>
      </c>
      <c r="I133" s="21" t="str">
        <f aca="false" t="array" ref="I133:I133">IFERROR(INDEX(Заказы!$A$3:$A$29,SMALL(IF(Заказы!$I$3:$I$29&gt;0,ROW(Заказы!$I$3:$I$29)-ROW(I$3)+1),9)),"")</f>
        <v/>
      </c>
      <c r="J133" s="26" t="str">
        <f aca="false">IF(I133="","",INDEX(Заказы!$I$3:$I$29,MATCH(I133,Заказы!$A$3:$A$29,0)))</f>
        <v/>
      </c>
      <c r="K133" s="26" t="str">
        <f aca="false">IF(I133="","",VLOOKUP(I133,Каталог!$A:$C,2,0))</f>
        <v/>
      </c>
      <c r="L133" s="22" t="str">
        <f aca="false">IF(I133="","",VLOOKUP(I133,Каталог!$A:$C,3,0))</f>
        <v/>
      </c>
      <c r="M133" s="22" t="str">
        <f aca="false">IF(I133="","",J133*L133)</f>
        <v/>
      </c>
    </row>
    <row r="134" customFormat="false" ht="15" hidden="false" customHeight="false" outlineLevel="0" collapsed="false">
      <c r="A134" s="26" t="str">
        <f aca="false">IF(B134="","",10)</f>
        <v/>
      </c>
      <c r="B134" s="21" t="str">
        <f aca="false" t="array" ref="B134:B134">IFERROR(INDEX(Заказы!$A$3:$A$29,SMALL(IF(Заказы!$H$3:$H$29&gt;0,ROW(Заказы!$H$3:$H$29)-ROW(H$3)+1),10)),"")</f>
        <v/>
      </c>
      <c r="C134" s="26" t="str">
        <f aca="false">IF(B134="","",INDEX(Заказы!$H$3:$H$29,MATCH(B134,Заказы!$A$3:$A$29,0)))</f>
        <v/>
      </c>
      <c r="D134" s="26" t="str">
        <f aca="false">IF(B134="","",VLOOKUP(B134,Каталог!$A:$C,2,0))</f>
        <v/>
      </c>
      <c r="E134" s="22" t="str">
        <f aca="false">IF(B134="","",VLOOKUP(B134,Каталог!$A:$C,3,0))</f>
        <v/>
      </c>
      <c r="F134" s="22" t="str">
        <f aca="false">IF(B134="","",C134*E134)</f>
        <v/>
      </c>
      <c r="H134" s="26" t="str">
        <f aca="false">IF(I134="","",10)</f>
        <v/>
      </c>
      <c r="I134" s="21" t="str">
        <f aca="false" t="array" ref="I134:I134">IFERROR(INDEX(Заказы!$A$3:$A$29,SMALL(IF(Заказы!$I$3:$I$29&gt;0,ROW(Заказы!$I$3:$I$29)-ROW(I$3)+1),10)),"")</f>
        <v/>
      </c>
      <c r="J134" s="26" t="str">
        <f aca="false">IF(I134="","",INDEX(Заказы!$I$3:$I$29,MATCH(I134,Заказы!$A$3:$A$29,0)))</f>
        <v/>
      </c>
      <c r="K134" s="26" t="str">
        <f aca="false">IF(I134="","",VLOOKUP(I134,Каталог!$A:$C,2,0))</f>
        <v/>
      </c>
      <c r="L134" s="22" t="str">
        <f aca="false">IF(I134="","",VLOOKUP(I134,Каталог!$A:$C,3,0))</f>
        <v/>
      </c>
      <c r="M134" s="22" t="str">
        <f aca="false">IF(I134="","",J134*L134)</f>
        <v/>
      </c>
    </row>
    <row r="135" customFormat="false" ht="15" hidden="false" customHeight="false" outlineLevel="0" collapsed="false">
      <c r="A135" s="26" t="str">
        <f aca="false">IF(B135="","",11)</f>
        <v/>
      </c>
      <c r="B135" s="21" t="str">
        <f aca="false" t="array" ref="B135:B135">IFERROR(INDEX(Заказы!$A$3:$A$29,SMALL(IF(Заказы!$H$3:$H$29&gt;0,ROW(Заказы!$H$3:$H$29)-ROW(H$3)+1),11)),"")</f>
        <v/>
      </c>
      <c r="C135" s="26" t="str">
        <f aca="false">IF(B135="","",INDEX(Заказы!$H$3:$H$29,MATCH(B135,Заказы!$A$3:$A$29,0)))</f>
        <v/>
      </c>
      <c r="D135" s="26" t="str">
        <f aca="false">IF(B135="","",VLOOKUP(B135,Каталог!$A:$C,2,0))</f>
        <v/>
      </c>
      <c r="E135" s="22" t="str">
        <f aca="false">IF(B135="","",VLOOKUP(B135,Каталог!$A:$C,3,0))</f>
        <v/>
      </c>
      <c r="F135" s="22" t="str">
        <f aca="false">IF(B135="","",C135*E135)</f>
        <v/>
      </c>
      <c r="H135" s="26" t="str">
        <f aca="false">IF(I135="","",11)</f>
        <v/>
      </c>
      <c r="I135" s="21" t="str">
        <f aca="false" t="array" ref="I135:I135">IFERROR(INDEX(Заказы!$A$3:$A$29,SMALL(IF(Заказы!$I$3:$I$29&gt;0,ROW(Заказы!$I$3:$I$29)-ROW(I$3)+1),11)),"")</f>
        <v/>
      </c>
      <c r="J135" s="26" t="str">
        <f aca="false">IF(I135="","",INDEX(Заказы!$I$3:$I$29,MATCH(I135,Заказы!$A$3:$A$29,0)))</f>
        <v/>
      </c>
      <c r="K135" s="26" t="str">
        <f aca="false">IF(I135="","",VLOOKUP(I135,Каталог!$A:$C,2,0))</f>
        <v/>
      </c>
      <c r="L135" s="22" t="str">
        <f aca="false">IF(I135="","",VLOOKUP(I135,Каталог!$A:$C,3,0))</f>
        <v/>
      </c>
      <c r="M135" s="22" t="str">
        <f aca="false">IF(I135="","",J135*L135)</f>
        <v/>
      </c>
    </row>
    <row r="136" customFormat="false" ht="15" hidden="false" customHeight="false" outlineLevel="0" collapsed="false">
      <c r="A136" s="26" t="str">
        <f aca="false">IF(B136="","",12)</f>
        <v/>
      </c>
      <c r="B136" s="21" t="str">
        <f aca="false" t="array" ref="B136:B136">IFERROR(INDEX(Заказы!$A$3:$A$29,SMALL(IF(Заказы!$H$3:$H$29&gt;0,ROW(Заказы!$H$3:$H$29)-ROW(H$3)+1),12)),"")</f>
        <v/>
      </c>
      <c r="C136" s="26" t="str">
        <f aca="false">IF(B136="","",INDEX(Заказы!$H$3:$H$29,MATCH(B136,Заказы!$A$3:$A$29,0)))</f>
        <v/>
      </c>
      <c r="D136" s="26" t="str">
        <f aca="false">IF(B136="","",VLOOKUP(B136,Каталог!$A:$C,2,0))</f>
        <v/>
      </c>
      <c r="E136" s="22" t="str">
        <f aca="false">IF(B136="","",VLOOKUP(B136,Каталог!$A:$C,3,0))</f>
        <v/>
      </c>
      <c r="F136" s="22" t="str">
        <f aca="false">IF(B136="","",C136*E136)</f>
        <v/>
      </c>
      <c r="H136" s="26" t="str">
        <f aca="false">IF(I136="","",12)</f>
        <v/>
      </c>
      <c r="I136" s="21" t="str">
        <f aca="false" t="array" ref="I136:I136">IFERROR(INDEX(Заказы!$A$3:$A$29,SMALL(IF(Заказы!$I$3:$I$29&gt;0,ROW(Заказы!$I$3:$I$29)-ROW(I$3)+1),12)),"")</f>
        <v/>
      </c>
      <c r="J136" s="26" t="str">
        <f aca="false">IF(I136="","",INDEX(Заказы!$I$3:$I$29,MATCH(I136,Заказы!$A$3:$A$29,0)))</f>
        <v/>
      </c>
      <c r="K136" s="26" t="str">
        <f aca="false">IF(I136="","",VLOOKUP(I136,Каталог!$A:$C,2,0))</f>
        <v/>
      </c>
      <c r="L136" s="22" t="str">
        <f aca="false">IF(I136="","",VLOOKUP(I136,Каталог!$A:$C,3,0))</f>
        <v/>
      </c>
      <c r="M136" s="22" t="str">
        <f aca="false">IF(I136="","",J136*L136)</f>
        <v/>
      </c>
    </row>
    <row r="137" customFormat="false" ht="15" hidden="false" customHeight="false" outlineLevel="0" collapsed="false">
      <c r="A137" s="26" t="str">
        <f aca="false">IF(B137="","",13)</f>
        <v/>
      </c>
      <c r="B137" s="21" t="str">
        <f aca="false" t="array" ref="B137:B137">IFERROR(INDEX(Заказы!$A$3:$A$29,SMALL(IF(Заказы!$H$3:$H$29&gt;0,ROW(Заказы!$H$3:$H$29)-ROW(H$3)+1),13)),"")</f>
        <v/>
      </c>
      <c r="C137" s="26" t="str">
        <f aca="false">IF(B137="","",INDEX(Заказы!$H$3:$H$29,MATCH(B137,Заказы!$A$3:$A$29,0)))</f>
        <v/>
      </c>
      <c r="D137" s="26" t="str">
        <f aca="false">IF(B137="","",VLOOKUP(B137,Каталог!$A:$C,2,0))</f>
        <v/>
      </c>
      <c r="E137" s="22" t="str">
        <f aca="false">IF(B137="","",VLOOKUP(B137,Каталог!$A:$C,3,0))</f>
        <v/>
      </c>
      <c r="F137" s="22" t="str">
        <f aca="false">IF(B137="","",C137*E137)</f>
        <v/>
      </c>
      <c r="H137" s="26" t="str">
        <f aca="false">IF(I137="","",13)</f>
        <v/>
      </c>
      <c r="I137" s="21" t="str">
        <f aca="false" t="array" ref="I137:I137">IFERROR(INDEX(Заказы!$A$3:$A$29,SMALL(IF(Заказы!$I$3:$I$29&gt;0,ROW(Заказы!$I$3:$I$29)-ROW(I$3)+1),13)),"")</f>
        <v/>
      </c>
      <c r="J137" s="26" t="str">
        <f aca="false">IF(I137="","",INDEX(Заказы!$I$3:$I$29,MATCH(I137,Заказы!$A$3:$A$29,0)))</f>
        <v/>
      </c>
      <c r="K137" s="26" t="str">
        <f aca="false">IF(I137="","",VLOOKUP(I137,Каталог!$A:$C,2,0))</f>
        <v/>
      </c>
      <c r="L137" s="22" t="str">
        <f aca="false">IF(I137="","",VLOOKUP(I137,Каталог!$A:$C,3,0))</f>
        <v/>
      </c>
      <c r="M137" s="22" t="str">
        <f aca="false">IF(I137="","",J137*L137)</f>
        <v/>
      </c>
    </row>
    <row r="138" customFormat="false" ht="15" hidden="false" customHeight="false" outlineLevel="0" collapsed="false">
      <c r="A138" s="26" t="str">
        <f aca="false">IF(B138="","",14)</f>
        <v/>
      </c>
      <c r="B138" s="21" t="str">
        <f aca="false" t="array" ref="B138:B138">IFERROR(INDEX(Заказы!$A$3:$A$29,SMALL(IF(Заказы!$H$3:$H$29&gt;0,ROW(Заказы!$H$3:$H$29)-ROW(H$3)+1),14)),"")</f>
        <v/>
      </c>
      <c r="C138" s="26" t="str">
        <f aca="false">IF(B138="","",INDEX(Заказы!$H$3:$H$29,MATCH(B138,Заказы!$A$3:$A$29,0)))</f>
        <v/>
      </c>
      <c r="D138" s="26" t="str">
        <f aca="false">IF(B138="","",VLOOKUP(B138,Каталог!$A:$C,2,0))</f>
        <v/>
      </c>
      <c r="E138" s="22" t="str">
        <f aca="false">IF(B138="","",VLOOKUP(B138,Каталог!$A:$C,3,0))</f>
        <v/>
      </c>
      <c r="F138" s="22" t="str">
        <f aca="false">IF(B138="","",C138*E138)</f>
        <v/>
      </c>
      <c r="H138" s="26" t="str">
        <f aca="false">IF(I138="","",14)</f>
        <v/>
      </c>
      <c r="I138" s="21" t="str">
        <f aca="false" t="array" ref="I138:I138">IFERROR(INDEX(Заказы!$A$3:$A$29,SMALL(IF(Заказы!$I$3:$I$29&gt;0,ROW(Заказы!$I$3:$I$29)-ROW(I$3)+1),14)),"")</f>
        <v/>
      </c>
      <c r="J138" s="26" t="str">
        <f aca="false">IF(I138="","",INDEX(Заказы!$I$3:$I$29,MATCH(I138,Заказы!$A$3:$A$29,0)))</f>
        <v/>
      </c>
      <c r="K138" s="26" t="str">
        <f aca="false">IF(I138="","",VLOOKUP(I138,Каталог!$A:$C,2,0))</f>
        <v/>
      </c>
      <c r="L138" s="22" t="str">
        <f aca="false">IF(I138="","",VLOOKUP(I138,Каталог!$A:$C,3,0))</f>
        <v/>
      </c>
      <c r="M138" s="22" t="str">
        <f aca="false">IF(I138="","",J138*L138)</f>
        <v/>
      </c>
    </row>
    <row r="139" customFormat="false" ht="15" hidden="false" customHeight="false" outlineLevel="0" collapsed="false">
      <c r="A139" s="26" t="str">
        <f aca="false">IF(B139="","",15)</f>
        <v/>
      </c>
      <c r="B139" s="21" t="str">
        <f aca="false" t="array" ref="B139:B139">IFERROR(INDEX(Заказы!$A$3:$A$29,SMALL(IF(Заказы!$H$3:$H$29&gt;0,ROW(Заказы!$H$3:$H$29)-ROW(H$3)+1),15)),"")</f>
        <v/>
      </c>
      <c r="C139" s="26" t="str">
        <f aca="false">IF(B139="","",INDEX(Заказы!$H$3:$H$29,MATCH(B139,Заказы!$A$3:$A$29,0)))</f>
        <v/>
      </c>
      <c r="D139" s="26" t="str">
        <f aca="false">IF(B139="","",VLOOKUP(B139,Каталог!$A:$C,2,0))</f>
        <v/>
      </c>
      <c r="E139" s="22" t="str">
        <f aca="false">IF(B139="","",VLOOKUP(B139,Каталог!$A:$C,3,0))</f>
        <v/>
      </c>
      <c r="F139" s="22" t="str">
        <f aca="false">IF(B139="","",C139*E139)</f>
        <v/>
      </c>
      <c r="H139" s="26" t="str">
        <f aca="false">IF(I139="","",15)</f>
        <v/>
      </c>
      <c r="I139" s="21" t="str">
        <f aca="false" t="array" ref="I139:I139">IFERROR(INDEX(Заказы!$A$3:$A$29,SMALL(IF(Заказы!$I$3:$I$29&gt;0,ROW(Заказы!$I$3:$I$29)-ROW(I$3)+1),15)),"")</f>
        <v/>
      </c>
      <c r="J139" s="26" t="str">
        <f aca="false">IF(I139="","",INDEX(Заказы!$I$3:$I$29,MATCH(I139,Заказы!$A$3:$A$29,0)))</f>
        <v/>
      </c>
      <c r="K139" s="26" t="str">
        <f aca="false">IF(I139="","",VLOOKUP(I139,Каталог!$A:$C,2,0))</f>
        <v/>
      </c>
      <c r="L139" s="22" t="str">
        <f aca="false">IF(I139="","",VLOOKUP(I139,Каталог!$A:$C,3,0))</f>
        <v/>
      </c>
      <c r="M139" s="22" t="str">
        <f aca="false">IF(I139="","",J139*L139)</f>
        <v/>
      </c>
    </row>
    <row r="140" customFormat="false" ht="15" hidden="false" customHeight="false" outlineLevel="0" collapsed="false">
      <c r="A140" s="26" t="str">
        <f aca="false">IF(B140="","",16)</f>
        <v/>
      </c>
      <c r="B140" s="21" t="str">
        <f aca="false" t="array" ref="B140:B140">IFERROR(INDEX(Заказы!$A$3:$A$29,SMALL(IF(Заказы!$H$3:$H$29&gt;0,ROW(Заказы!$H$3:$H$29)-ROW(H$3)+1),16)),"")</f>
        <v/>
      </c>
      <c r="C140" s="26" t="str">
        <f aca="false">IF(B140="","",INDEX(Заказы!$H$3:$H$29,MATCH(B140,Заказы!$A$3:$A$29,0)))</f>
        <v/>
      </c>
      <c r="D140" s="26" t="str">
        <f aca="false">IF(B140="","",VLOOKUP(B140,Каталог!$A:$C,2,0))</f>
        <v/>
      </c>
      <c r="E140" s="22" t="str">
        <f aca="false">IF(B140="","",VLOOKUP(B140,Каталог!$A:$C,3,0))</f>
        <v/>
      </c>
      <c r="F140" s="22" t="str">
        <f aca="false">IF(B140="","",C140*E140)</f>
        <v/>
      </c>
      <c r="H140" s="26" t="str">
        <f aca="false">IF(I140="","",16)</f>
        <v/>
      </c>
      <c r="I140" s="21" t="str">
        <f aca="false" t="array" ref="I140:I140">IFERROR(INDEX(Заказы!$A$3:$A$29,SMALL(IF(Заказы!$I$3:$I$29&gt;0,ROW(Заказы!$I$3:$I$29)-ROW(I$3)+1),16)),"")</f>
        <v/>
      </c>
      <c r="J140" s="26" t="str">
        <f aca="false">IF(I140="","",INDEX(Заказы!$I$3:$I$29,MATCH(I140,Заказы!$A$3:$A$29,0)))</f>
        <v/>
      </c>
      <c r="K140" s="26" t="str">
        <f aca="false">IF(I140="","",VLOOKUP(I140,Каталог!$A:$C,2,0))</f>
        <v/>
      </c>
      <c r="L140" s="22" t="str">
        <f aca="false">IF(I140="","",VLOOKUP(I140,Каталог!$A:$C,3,0))</f>
        <v/>
      </c>
      <c r="M140" s="22" t="str">
        <f aca="false">IF(I140="","",J140*L140)</f>
        <v/>
      </c>
    </row>
    <row r="141" customFormat="false" ht="15" hidden="false" customHeight="false" outlineLevel="0" collapsed="false">
      <c r="A141" s="26" t="str">
        <f aca="false">IF(B141="","",17)</f>
        <v/>
      </c>
      <c r="B141" s="21" t="str">
        <f aca="false" t="array" ref="B141:B141">IFERROR(INDEX(Заказы!$A$3:$A$29,SMALL(IF(Заказы!$H$3:$H$29&gt;0,ROW(Заказы!$H$3:$H$29)-ROW(H$3)+1),17)),"")</f>
        <v/>
      </c>
      <c r="C141" s="26" t="str">
        <f aca="false">IF(B141="","",INDEX(Заказы!$H$3:$H$29,MATCH(B141,Заказы!$A$3:$A$29,0)))</f>
        <v/>
      </c>
      <c r="D141" s="26" t="str">
        <f aca="false">IF(B141="","",VLOOKUP(B141,Каталог!$A:$C,2,0))</f>
        <v/>
      </c>
      <c r="E141" s="22" t="str">
        <f aca="false">IF(B141="","",VLOOKUP(B141,Каталог!$A:$C,3,0))</f>
        <v/>
      </c>
      <c r="F141" s="22" t="str">
        <f aca="false">IF(B141="","",C141*E141)</f>
        <v/>
      </c>
      <c r="H141" s="26" t="str">
        <f aca="false">IF(I141="","",17)</f>
        <v/>
      </c>
      <c r="I141" s="21" t="str">
        <f aca="false" t="array" ref="I141:I141">IFERROR(INDEX(Заказы!$A$3:$A$29,SMALL(IF(Заказы!$I$3:$I$29&gt;0,ROW(Заказы!$I$3:$I$29)-ROW(I$3)+1),17)),"")</f>
        <v/>
      </c>
      <c r="J141" s="26" t="str">
        <f aca="false">IF(I141="","",INDEX(Заказы!$I$3:$I$29,MATCH(I141,Заказы!$A$3:$A$29,0)))</f>
        <v/>
      </c>
      <c r="K141" s="26" t="str">
        <f aca="false">IF(I141="","",VLOOKUP(I141,Каталог!$A:$C,2,0))</f>
        <v/>
      </c>
      <c r="L141" s="22" t="str">
        <f aca="false">IF(I141="","",VLOOKUP(I141,Каталог!$A:$C,3,0))</f>
        <v/>
      </c>
      <c r="M141" s="22" t="str">
        <f aca="false">IF(I141="","",J141*L141)</f>
        <v/>
      </c>
    </row>
    <row r="142" customFormat="false" ht="15" hidden="false" customHeight="false" outlineLevel="0" collapsed="false">
      <c r="A142" s="26" t="str">
        <f aca="false">IF(B142="","",18)</f>
        <v/>
      </c>
      <c r="B142" s="21" t="str">
        <f aca="false" t="array" ref="B142:B142">IFERROR(INDEX(Заказы!$A$3:$A$29,SMALL(IF(Заказы!$H$3:$H$29&gt;0,ROW(Заказы!$H$3:$H$29)-ROW(H$3)+1),18)),"")</f>
        <v/>
      </c>
      <c r="C142" s="26" t="str">
        <f aca="false">IF(B142="","",INDEX(Заказы!$H$3:$H$29,MATCH(B142,Заказы!$A$3:$A$29,0)))</f>
        <v/>
      </c>
      <c r="D142" s="26" t="str">
        <f aca="false">IF(B142="","",VLOOKUP(B142,Каталог!$A:$C,2,0))</f>
        <v/>
      </c>
      <c r="E142" s="22" t="str">
        <f aca="false">IF(B142="","",VLOOKUP(B142,Каталог!$A:$C,3,0))</f>
        <v/>
      </c>
      <c r="F142" s="22" t="str">
        <f aca="false">IF(B142="","",C142*E142)</f>
        <v/>
      </c>
      <c r="H142" s="26" t="str">
        <f aca="false">IF(I142="","",18)</f>
        <v/>
      </c>
      <c r="I142" s="21" t="str">
        <f aca="false" t="array" ref="I142:I142">IFERROR(INDEX(Заказы!$A$3:$A$29,SMALL(IF(Заказы!$I$3:$I$29&gt;0,ROW(Заказы!$I$3:$I$29)-ROW(I$3)+1),18)),"")</f>
        <v/>
      </c>
      <c r="J142" s="26" t="str">
        <f aca="false">IF(I142="","",INDEX(Заказы!$I$3:$I$29,MATCH(I142,Заказы!$A$3:$A$29,0)))</f>
        <v/>
      </c>
      <c r="K142" s="26" t="str">
        <f aca="false">IF(I142="","",VLOOKUP(I142,Каталог!$A:$C,2,0))</f>
        <v/>
      </c>
      <c r="L142" s="22" t="str">
        <f aca="false">IF(I142="","",VLOOKUP(I142,Каталог!$A:$C,3,0))</f>
        <v/>
      </c>
      <c r="M142" s="22" t="str">
        <f aca="false">IF(I142="","",J142*L142)</f>
        <v/>
      </c>
    </row>
    <row r="143" customFormat="false" ht="15" hidden="false" customHeight="false" outlineLevel="0" collapsed="false">
      <c r="A143" s="26" t="str">
        <f aca="false">IF(B143="","",19)</f>
        <v/>
      </c>
      <c r="B143" s="21" t="str">
        <f aca="false" t="array" ref="B143:B143">IFERROR(INDEX(Заказы!$A$3:$A$29,SMALL(IF(Заказы!$H$3:$H$29&gt;0,ROW(Заказы!$H$3:$H$29)-ROW(H$3)+1),19)),"")</f>
        <v/>
      </c>
      <c r="C143" s="26" t="str">
        <f aca="false">IF(B143="","",INDEX(Заказы!$H$3:$H$29,MATCH(B143,Заказы!$A$3:$A$29,0)))</f>
        <v/>
      </c>
      <c r="D143" s="26" t="str">
        <f aca="false">IF(B143="","",VLOOKUP(B143,Каталог!$A:$C,2,0))</f>
        <v/>
      </c>
      <c r="E143" s="22" t="str">
        <f aca="false">IF(B143="","",VLOOKUP(B143,Каталог!$A:$C,3,0))</f>
        <v/>
      </c>
      <c r="F143" s="22" t="str">
        <f aca="false">IF(B143="","",C143*E143)</f>
        <v/>
      </c>
      <c r="H143" s="26" t="str">
        <f aca="false">IF(I143="","",19)</f>
        <v/>
      </c>
      <c r="I143" s="21" t="str">
        <f aca="false" t="array" ref="I143:I143">IFERROR(INDEX(Заказы!$A$3:$A$29,SMALL(IF(Заказы!$I$3:$I$29&gt;0,ROW(Заказы!$I$3:$I$29)-ROW(I$3)+1),19)),"")</f>
        <v/>
      </c>
      <c r="J143" s="26" t="str">
        <f aca="false">IF(I143="","",INDEX(Заказы!$I$3:$I$29,MATCH(I143,Заказы!$A$3:$A$29,0)))</f>
        <v/>
      </c>
      <c r="K143" s="26" t="str">
        <f aca="false">IF(I143="","",VLOOKUP(I143,Каталог!$A:$C,2,0))</f>
        <v/>
      </c>
      <c r="L143" s="22" t="str">
        <f aca="false">IF(I143="","",VLOOKUP(I143,Каталог!$A:$C,3,0))</f>
        <v/>
      </c>
      <c r="M143" s="22" t="str">
        <f aca="false">IF(I143="","",J143*L143)</f>
        <v/>
      </c>
    </row>
    <row r="144" customFormat="false" ht="15" hidden="false" customHeight="false" outlineLevel="0" collapsed="false">
      <c r="A144" s="26" t="str">
        <f aca="false">IF(B144="","",20)</f>
        <v/>
      </c>
      <c r="B144" s="21" t="str">
        <f aca="false" t="array" ref="B144:B144">IFERROR(INDEX(Заказы!$A$3:$A$29,SMALL(IF(Заказы!$H$3:$H$29&gt;0,ROW(Заказы!$H$3:$H$29)-ROW(H$3)+1),20)),"")</f>
        <v/>
      </c>
      <c r="C144" s="26" t="str">
        <f aca="false">IF(B144="","",INDEX(Заказы!$H$3:$H$29,MATCH(B144,Заказы!$A$3:$A$29,0)))</f>
        <v/>
      </c>
      <c r="D144" s="26" t="str">
        <f aca="false">IF(B144="","",VLOOKUP(B144,Каталог!$A:$C,2,0))</f>
        <v/>
      </c>
      <c r="E144" s="22" t="str">
        <f aca="false">IF(B144="","",VLOOKUP(B144,Каталог!$A:$C,3,0))</f>
        <v/>
      </c>
      <c r="F144" s="22" t="str">
        <f aca="false">IF(B144="","",C144*E144)</f>
        <v/>
      </c>
      <c r="H144" s="26" t="str">
        <f aca="false">IF(I144="","",20)</f>
        <v/>
      </c>
      <c r="I144" s="21" t="str">
        <f aca="false" t="array" ref="I144:I144">IFERROR(INDEX(Заказы!$A$3:$A$29,SMALL(IF(Заказы!$I$3:$I$29&gt;0,ROW(Заказы!$I$3:$I$29)-ROW(I$3)+1),20)),"")</f>
        <v/>
      </c>
      <c r="J144" s="26" t="str">
        <f aca="false">IF(I144="","",INDEX(Заказы!$I$3:$I$29,MATCH(I144,Заказы!$A$3:$A$29,0)))</f>
        <v/>
      </c>
      <c r="K144" s="26" t="str">
        <f aca="false">IF(I144="","",VLOOKUP(I144,Каталог!$A:$C,2,0))</f>
        <v/>
      </c>
      <c r="L144" s="22" t="str">
        <f aca="false">IF(I144="","",VLOOKUP(I144,Каталог!$A:$C,3,0))</f>
        <v/>
      </c>
      <c r="M144" s="22" t="str">
        <f aca="false">IF(I144="","",J144*L144)</f>
        <v/>
      </c>
    </row>
    <row r="145" customFormat="false" ht="15" hidden="false" customHeight="false" outlineLevel="0" collapsed="false">
      <c r="A145" s="26" t="str">
        <f aca="false">IF(B145="","",21)</f>
        <v/>
      </c>
      <c r="B145" s="21" t="str">
        <f aca="false" t="array" ref="B145:B145">IFERROR(INDEX(Заказы!$A$3:$A$29,SMALL(IF(Заказы!$H$3:$H$29&gt;0,ROW(Заказы!$H$3:$H$29)-ROW(H$3)+1),21)),"")</f>
        <v/>
      </c>
      <c r="C145" s="26" t="str">
        <f aca="false">IF(B145="","",INDEX(Заказы!$H$3:$H$29,MATCH(B145,Заказы!$A$3:$A$29,0)))</f>
        <v/>
      </c>
      <c r="D145" s="26" t="str">
        <f aca="false">IF(B145="","",VLOOKUP(B145,Каталог!$A:$C,2,0))</f>
        <v/>
      </c>
      <c r="E145" s="22" t="str">
        <f aca="false">IF(B145="","",VLOOKUP(B145,Каталог!$A:$C,3,0))</f>
        <v/>
      </c>
      <c r="F145" s="22" t="str">
        <f aca="false">IF(B145="","",C145*E145)</f>
        <v/>
      </c>
      <c r="H145" s="26" t="str">
        <f aca="false">IF(I145="","",21)</f>
        <v/>
      </c>
      <c r="I145" s="21" t="str">
        <f aca="false" t="array" ref="I145:I145">IFERROR(INDEX(Заказы!$A$3:$A$29,SMALL(IF(Заказы!$I$3:$I$29&gt;0,ROW(Заказы!$I$3:$I$29)-ROW(I$3)+1),21)),"")</f>
        <v/>
      </c>
      <c r="J145" s="26" t="str">
        <f aca="false">IF(I145="","",INDEX(Заказы!$I$3:$I$29,MATCH(I145,Заказы!$A$3:$A$29,0)))</f>
        <v/>
      </c>
      <c r="K145" s="26" t="str">
        <f aca="false">IF(I145="","",VLOOKUP(I145,Каталог!$A:$C,2,0))</f>
        <v/>
      </c>
      <c r="L145" s="22" t="str">
        <f aca="false">IF(I145="","",VLOOKUP(I145,Каталог!$A:$C,3,0))</f>
        <v/>
      </c>
      <c r="M145" s="22" t="str">
        <f aca="false">IF(I145="","",J145*L145)</f>
        <v/>
      </c>
    </row>
    <row r="146" customFormat="false" ht="15" hidden="false" customHeight="false" outlineLevel="0" collapsed="false">
      <c r="A146" s="26" t="str">
        <f aca="false">IF(B146="","",22)</f>
        <v/>
      </c>
      <c r="B146" s="21" t="str">
        <f aca="false" t="array" ref="B146:B146">IFERROR(INDEX(Заказы!$A$3:$A$29,SMALL(IF(Заказы!$H$3:$H$29&gt;0,ROW(Заказы!$H$3:$H$29)-ROW(H$3)+1),22)),"")</f>
        <v/>
      </c>
      <c r="C146" s="26" t="str">
        <f aca="false">IF(B146="","",INDEX(Заказы!$H$3:$H$29,MATCH(B146,Заказы!$A$3:$A$29,0)))</f>
        <v/>
      </c>
      <c r="D146" s="26" t="str">
        <f aca="false">IF(B146="","",VLOOKUP(B146,Каталог!$A:$C,2,0))</f>
        <v/>
      </c>
      <c r="E146" s="22" t="str">
        <f aca="false">IF(B146="","",VLOOKUP(B146,Каталог!$A:$C,3,0))</f>
        <v/>
      </c>
      <c r="F146" s="22" t="str">
        <f aca="false">IF(B146="","",C146*E146)</f>
        <v/>
      </c>
      <c r="H146" s="26" t="str">
        <f aca="false">IF(I146="","",22)</f>
        <v/>
      </c>
      <c r="I146" s="21" t="str">
        <f aca="false" t="array" ref="I146:I146">IFERROR(INDEX(Заказы!$A$3:$A$29,SMALL(IF(Заказы!$I$3:$I$29&gt;0,ROW(Заказы!$I$3:$I$29)-ROW(I$3)+1),22)),"")</f>
        <v/>
      </c>
      <c r="J146" s="26" t="str">
        <f aca="false">IF(I146="","",INDEX(Заказы!$I$3:$I$29,MATCH(I146,Заказы!$A$3:$A$29,0)))</f>
        <v/>
      </c>
      <c r="K146" s="26" t="str">
        <f aca="false">IF(I146="","",VLOOKUP(I146,Каталог!$A:$C,2,0))</f>
        <v/>
      </c>
      <c r="L146" s="22" t="str">
        <f aca="false">IF(I146="","",VLOOKUP(I146,Каталог!$A:$C,3,0))</f>
        <v/>
      </c>
      <c r="M146" s="22" t="str">
        <f aca="false">IF(I146="","",J146*L146)</f>
        <v/>
      </c>
    </row>
    <row r="147" customFormat="false" ht="15" hidden="false" customHeight="false" outlineLevel="0" collapsed="false">
      <c r="A147" s="26" t="str">
        <f aca="false">IF(B147="","",23)</f>
        <v/>
      </c>
      <c r="B147" s="21" t="str">
        <f aca="false" t="array" ref="B147:B147">IFERROR(INDEX(Заказы!$A$3:$A$29,SMALL(IF(Заказы!$H$3:$H$29&gt;0,ROW(Заказы!$H$3:$H$29)-ROW(H$3)+1),23)),"")</f>
        <v/>
      </c>
      <c r="C147" s="26" t="str">
        <f aca="false">IF(B147="","",INDEX(Заказы!$H$3:$H$29,MATCH(B147,Заказы!$A$3:$A$29,0)))</f>
        <v/>
      </c>
      <c r="D147" s="26" t="str">
        <f aca="false">IF(B147="","",VLOOKUP(B147,Каталог!$A:$C,2,0))</f>
        <v/>
      </c>
      <c r="E147" s="22" t="str">
        <f aca="false">IF(B147="","",VLOOKUP(B147,Каталог!$A:$C,3,0))</f>
        <v/>
      </c>
      <c r="F147" s="22" t="str">
        <f aca="false">IF(B147="","",C147*E147)</f>
        <v/>
      </c>
      <c r="H147" s="26" t="str">
        <f aca="false">IF(I147="","",23)</f>
        <v/>
      </c>
      <c r="I147" s="21" t="str">
        <f aca="false" t="array" ref="I147:I147">IFERROR(INDEX(Заказы!$A$3:$A$29,SMALL(IF(Заказы!$I$3:$I$29&gt;0,ROW(Заказы!$I$3:$I$29)-ROW(I$3)+1),23)),"")</f>
        <v/>
      </c>
      <c r="J147" s="26" t="str">
        <f aca="false">IF(I147="","",INDEX(Заказы!$I$3:$I$29,MATCH(I147,Заказы!$A$3:$A$29,0)))</f>
        <v/>
      </c>
      <c r="K147" s="26" t="str">
        <f aca="false">IF(I147="","",VLOOKUP(I147,Каталог!$A:$C,2,0))</f>
        <v/>
      </c>
      <c r="L147" s="22" t="str">
        <f aca="false">IF(I147="","",VLOOKUP(I147,Каталог!$A:$C,3,0))</f>
        <v/>
      </c>
      <c r="M147" s="22" t="str">
        <f aca="false">IF(I147="","",J147*L147)</f>
        <v/>
      </c>
    </row>
    <row r="148" customFormat="false" ht="15" hidden="false" customHeight="false" outlineLevel="0" collapsed="false">
      <c r="A148" s="26" t="str">
        <f aca="false">IF(B148="","",24)</f>
        <v/>
      </c>
      <c r="B148" s="21" t="str">
        <f aca="false" t="array" ref="B148:B148">IFERROR(INDEX(Заказы!$A$3:$A$29,SMALL(IF(Заказы!$H$3:$H$29&gt;0,ROW(Заказы!$H$3:$H$29)-ROW(H$3)+1),24)),"")</f>
        <v/>
      </c>
      <c r="C148" s="26" t="str">
        <f aca="false">IF(B148="","",INDEX(Заказы!$H$3:$H$29,MATCH(B148,Заказы!$A$3:$A$29,0)))</f>
        <v/>
      </c>
      <c r="D148" s="26" t="str">
        <f aca="false">IF(B148="","",VLOOKUP(B148,Каталог!$A:$C,2,0))</f>
        <v/>
      </c>
      <c r="E148" s="22" t="str">
        <f aca="false">IF(B148="","",VLOOKUP(B148,Каталог!$A:$C,3,0))</f>
        <v/>
      </c>
      <c r="F148" s="22" t="str">
        <f aca="false">IF(B148="","",C148*E148)</f>
        <v/>
      </c>
      <c r="H148" s="26" t="str">
        <f aca="false">IF(I148="","",24)</f>
        <v/>
      </c>
      <c r="I148" s="21" t="str">
        <f aca="false" t="array" ref="I148:I148">IFERROR(INDEX(Заказы!$A$3:$A$29,SMALL(IF(Заказы!$I$3:$I$29&gt;0,ROW(Заказы!$I$3:$I$29)-ROW(I$3)+1),24)),"")</f>
        <v/>
      </c>
      <c r="J148" s="26" t="str">
        <f aca="false">IF(I148="","",INDEX(Заказы!$I$3:$I$29,MATCH(I148,Заказы!$A$3:$A$29,0)))</f>
        <v/>
      </c>
      <c r="K148" s="26" t="str">
        <f aca="false">IF(I148="","",VLOOKUP(I148,Каталог!$A:$C,2,0))</f>
        <v/>
      </c>
      <c r="L148" s="22" t="str">
        <f aca="false">IF(I148="","",VLOOKUP(I148,Каталог!$A:$C,3,0))</f>
        <v/>
      </c>
      <c r="M148" s="22" t="str">
        <f aca="false">IF(I148="","",J148*L148)</f>
        <v/>
      </c>
    </row>
    <row r="149" customFormat="false" ht="15" hidden="false" customHeight="false" outlineLevel="0" collapsed="false">
      <c r="A149" s="26" t="str">
        <f aca="false">IF(B149="","",25)</f>
        <v/>
      </c>
      <c r="B149" s="21" t="str">
        <f aca="false" t="array" ref="B149:B149">IFERROR(INDEX(Заказы!$A$3:$A$29,SMALL(IF(Заказы!$H$3:$H$29&gt;0,ROW(Заказы!$H$3:$H$29)-ROW(H$3)+1),25)),"")</f>
        <v/>
      </c>
      <c r="C149" s="26" t="str">
        <f aca="false">IF(B149="","",INDEX(Заказы!$H$3:$H$29,MATCH(B149,Заказы!$A$3:$A$29,0)))</f>
        <v/>
      </c>
      <c r="D149" s="26" t="str">
        <f aca="false">IF(B149="","",VLOOKUP(B149,Каталог!$A:$C,2,0))</f>
        <v/>
      </c>
      <c r="E149" s="22" t="str">
        <f aca="false">IF(B149="","",VLOOKUP(B149,Каталог!$A:$C,3,0))</f>
        <v/>
      </c>
      <c r="F149" s="22" t="str">
        <f aca="false">IF(B149="","",C149*E149)</f>
        <v/>
      </c>
      <c r="H149" s="26" t="str">
        <f aca="false">IF(I149="","",25)</f>
        <v/>
      </c>
      <c r="I149" s="21" t="str">
        <f aca="false" t="array" ref="I149:I149">IFERROR(INDEX(Заказы!$A$3:$A$29,SMALL(IF(Заказы!$I$3:$I$29&gt;0,ROW(Заказы!$I$3:$I$29)-ROW(I$3)+1),25)),"")</f>
        <v/>
      </c>
      <c r="J149" s="26" t="str">
        <f aca="false">IF(I149="","",INDEX(Заказы!$I$3:$I$29,MATCH(I149,Заказы!$A$3:$A$29,0)))</f>
        <v/>
      </c>
      <c r="K149" s="26" t="str">
        <f aca="false">IF(I149="","",VLOOKUP(I149,Каталог!$A:$C,2,0))</f>
        <v/>
      </c>
      <c r="L149" s="22" t="str">
        <f aca="false">IF(I149="","",VLOOKUP(I149,Каталог!$A:$C,3,0))</f>
        <v/>
      </c>
      <c r="M149" s="22" t="str">
        <f aca="false">IF(I149="","",J149*L149)</f>
        <v/>
      </c>
    </row>
    <row r="150" customFormat="false" ht="15" hidden="false" customHeight="false" outlineLevel="0" collapsed="false">
      <c r="A150" s="26" t="str">
        <f aca="false">IF(B150="","",26)</f>
        <v/>
      </c>
      <c r="B150" s="21" t="str">
        <f aca="false" t="array" ref="B150:B150">IFERROR(INDEX(Заказы!$A$3:$A$29,SMALL(IF(Заказы!$H$3:$H$29&gt;0,ROW(Заказы!$H$3:$H$29)-ROW(H$3)+1),26)),"")</f>
        <v/>
      </c>
      <c r="C150" s="26" t="str">
        <f aca="false">IF(B150="","",INDEX(Заказы!$H$3:$H$29,MATCH(B150,Заказы!$A$3:$A$29,0)))</f>
        <v/>
      </c>
      <c r="D150" s="26" t="str">
        <f aca="false">IF(B150="","",VLOOKUP(B150,Каталог!$A:$C,2,0))</f>
        <v/>
      </c>
      <c r="E150" s="22" t="str">
        <f aca="false">IF(B150="","",VLOOKUP(B150,Каталог!$A:$C,3,0))</f>
        <v/>
      </c>
      <c r="F150" s="22" t="str">
        <f aca="false">IF(B150="","",C150*E150)</f>
        <v/>
      </c>
      <c r="H150" s="26" t="str">
        <f aca="false">IF(I150="","",26)</f>
        <v/>
      </c>
      <c r="I150" s="21" t="str">
        <f aca="false" t="array" ref="I150:I150">IFERROR(INDEX(Заказы!$A$3:$A$29,SMALL(IF(Заказы!$I$3:$I$29&gt;0,ROW(Заказы!$I$3:$I$29)-ROW(I$3)+1),26)),"")</f>
        <v/>
      </c>
      <c r="J150" s="26" t="str">
        <f aca="false">IF(I150="","",INDEX(Заказы!$I$3:$I$29,MATCH(I150,Заказы!$A$3:$A$29,0)))</f>
        <v/>
      </c>
      <c r="K150" s="26" t="str">
        <f aca="false">IF(I150="","",VLOOKUP(I150,Каталог!$A:$C,2,0))</f>
        <v/>
      </c>
      <c r="L150" s="22" t="str">
        <f aca="false">IF(I150="","",VLOOKUP(I150,Каталог!$A:$C,3,0))</f>
        <v/>
      </c>
      <c r="M150" s="22" t="str">
        <f aca="false">IF(I150="","",J150*L150)</f>
        <v/>
      </c>
    </row>
    <row r="151" customFormat="false" ht="15" hidden="false" customHeight="false" outlineLevel="0" collapsed="false">
      <c r="A151" s="26" t="str">
        <f aca="false">IF(B151="","",27)</f>
        <v/>
      </c>
      <c r="B151" s="21" t="str">
        <f aca="false" t="array" ref="B151:B151">IFERROR(INDEX(Заказы!$A$3:$A$29,SMALL(IF(Заказы!$H$3:$H$29&gt;0,ROW(Заказы!$H$3:$H$29)-ROW(H$3)+1),27)),"")</f>
        <v/>
      </c>
      <c r="C151" s="26" t="str">
        <f aca="false">IF(B151="","",INDEX(Заказы!$H$3:$H$29,MATCH(B151,Заказы!$A$3:$A$29,0)))</f>
        <v/>
      </c>
      <c r="D151" s="26" t="str">
        <f aca="false">IF(B151="","",VLOOKUP(B151,Каталог!$A:$C,2,0))</f>
        <v/>
      </c>
      <c r="E151" s="22" t="str">
        <f aca="false">IF(B151="","",VLOOKUP(B151,Каталог!$A:$C,3,0))</f>
        <v/>
      </c>
      <c r="F151" s="22" t="str">
        <f aca="false">IF(B151="","",C151*E151)</f>
        <v/>
      </c>
      <c r="H151" s="26" t="str">
        <f aca="false">IF(I151="","",27)</f>
        <v/>
      </c>
      <c r="I151" s="21" t="str">
        <f aca="false" t="array" ref="I151:I151">IFERROR(INDEX(Заказы!$A$3:$A$29,SMALL(IF(Заказы!$I$3:$I$29&gt;0,ROW(Заказы!$I$3:$I$29)-ROW(I$3)+1),27)),"")</f>
        <v/>
      </c>
      <c r="J151" s="26" t="str">
        <f aca="false">IF(I151="","",INDEX(Заказы!$I$3:$I$29,MATCH(I151,Заказы!$A$3:$A$29,0)))</f>
        <v/>
      </c>
      <c r="K151" s="26" t="str">
        <f aca="false">IF(I151="","",VLOOKUP(I151,Каталог!$A:$C,2,0))</f>
        <v/>
      </c>
      <c r="L151" s="22" t="str">
        <f aca="false">IF(I151="","",VLOOKUP(I151,Каталог!$A:$C,3,0))</f>
        <v/>
      </c>
      <c r="M151" s="22" t="str">
        <f aca="false">IF(I151="","",J151*L151)</f>
        <v/>
      </c>
    </row>
    <row r="152" customFormat="false" ht="15" hidden="false" customHeight="false" outlineLevel="0" collapsed="false">
      <c r="A152" s="23"/>
      <c r="B152" s="23"/>
      <c r="C152" s="23"/>
      <c r="D152" s="23"/>
      <c r="E152" s="23"/>
      <c r="F152" s="23"/>
      <c r="H152" s="23"/>
      <c r="I152" s="23"/>
      <c r="J152" s="23"/>
      <c r="K152" s="23"/>
      <c r="L152" s="23"/>
      <c r="M152" s="23"/>
    </row>
    <row r="153" customFormat="false" ht="15" hidden="false" customHeight="false" outlineLevel="0" collapsed="false">
      <c r="A153" s="24" t="str">
        <f aca="false">IF(COUNTIF(Заказы!$H$3:$H$29,"&gt;0")=0,"","Итого:")</f>
        <v/>
      </c>
      <c r="B153" s="24"/>
      <c r="C153" s="24"/>
      <c r="D153" s="24"/>
      <c r="E153" s="25" t="str">
        <f aca="false">IF(COUNTIF(Заказы!$H$3:$H$29,"&gt;0")=0,"",SUM(F125:F151))</f>
        <v/>
      </c>
      <c r="F153" s="25"/>
      <c r="H153" s="24" t="str">
        <f aca="false">IF(COUNTIF(Заказы!$I$3:$I$29,"&gt;0")=0,"","Итого:")</f>
        <v/>
      </c>
      <c r="I153" s="24"/>
      <c r="J153" s="24"/>
      <c r="K153" s="24"/>
      <c r="L153" s="25" t="str">
        <f aca="false">IF(COUNTIF(Заказы!$I$3:$I$29,"&gt;0")=0,"",SUM(M125:M151))</f>
        <v/>
      </c>
      <c r="M153" s="25"/>
    </row>
    <row r="155" customFormat="false" ht="15" hidden="false" customHeight="false" outlineLevel="0" collapsed="false">
      <c r="A155" s="18" t="str">
        <f aca="false">IF(COUNTIF(Заказы!$H$3:$H$29,"&gt;0")=0,"","Подпись отправителя: __________________")</f>
        <v/>
      </c>
      <c r="B155" s="18"/>
      <c r="C155" s="18"/>
      <c r="D155" s="18"/>
      <c r="E155" s="18"/>
      <c r="F155" s="18"/>
      <c r="H155" s="18" t="str">
        <f aca="false">IF(COUNTIF(Заказы!$I$3:$I$29,"&gt;0")=0,"","Подпись отправителя: __________________")</f>
        <v/>
      </c>
      <c r="I155" s="18"/>
      <c r="J155" s="18"/>
      <c r="K155" s="18"/>
      <c r="L155" s="18"/>
      <c r="M155" s="18"/>
    </row>
    <row r="156" customFormat="false" ht="15" hidden="false" customHeight="false" outlineLevel="0" collapsed="false">
      <c r="A156" s="18" t="str">
        <f aca="false">IF(COUNTIF(Заказы!$H$3:$H$29,"&gt;0")=0,"","Подпись получателя: ___________________")</f>
        <v/>
      </c>
      <c r="B156" s="18"/>
      <c r="C156" s="18"/>
      <c r="D156" s="18"/>
      <c r="E156" s="18"/>
      <c r="F156" s="18"/>
      <c r="H156" s="18" t="str">
        <f aca="false">IF(COUNTIF(Заказы!$I$3:$I$29,"&gt;0")=0,"","Подпись получателя: ___________________")</f>
        <v/>
      </c>
      <c r="I156" s="18"/>
      <c r="J156" s="18"/>
      <c r="K156" s="18"/>
      <c r="L156" s="18"/>
      <c r="M156" s="18"/>
    </row>
    <row r="158" customFormat="false" ht="17.35" hidden="false" customHeight="false" outlineLevel="0" collapsed="false">
      <c r="A158" s="17" t="str">
        <f aca="false">IF(COUNTIF(Заказы!$J$3:$J$29,"&gt;0")=0,"","НАКЛАДНАЯ")</f>
        <v>НАКЛАДНАЯ</v>
      </c>
      <c r="B158" s="17"/>
      <c r="C158" s="17"/>
      <c r="D158" s="17"/>
      <c r="E158" s="17"/>
      <c r="F158" s="17"/>
      <c r="H158" s="17" t="str">
        <f aca="false">IF(COUNTIF(Заказы!$K$3:$K$29,"&gt;0")=0,"","НАКЛАДНАЯ")</f>
        <v/>
      </c>
      <c r="I158" s="17"/>
      <c r="J158" s="17"/>
      <c r="K158" s="17"/>
      <c r="L158" s="17"/>
      <c r="M158" s="17"/>
    </row>
    <row r="159" customFormat="false" ht="15" hidden="false" customHeight="false" outlineLevel="0" collapsed="false">
      <c r="A159" s="18" t="str">
        <f aca="false">IF(COUNTIF(Заказы!$J$3:$J$29,"&gt;0")=0,"","Отправитель: Brown кондитерский цех")</f>
        <v>Отправитель: Brown кондитерский цех</v>
      </c>
      <c r="B159" s="18"/>
      <c r="C159" s="18"/>
      <c r="D159" s="18"/>
      <c r="E159" s="18"/>
      <c r="F159" s="18"/>
      <c r="H159" s="18" t="str">
        <f aca="false">IF(COUNTIF(Заказы!$K$3:$K$29,"&gt;0")=0,"","Отправитель: Brown кондитерский цех")</f>
        <v/>
      </c>
      <c r="I159" s="18"/>
      <c r="J159" s="18"/>
      <c r="K159" s="18"/>
      <c r="L159" s="18"/>
      <c r="M159" s="18"/>
    </row>
    <row r="160" customFormat="false" ht="15" hidden="false" customHeight="false" outlineLevel="0" collapsed="false">
      <c r="A160" s="18" t="str">
        <f aca="false">IF(COUNTIF(Заказы!$J$3:$J$29,"&gt;0")=0,"","Получатель: "&amp;Заказы!J$2)</f>
        <v>Получатель: Навои</v>
      </c>
      <c r="B160" s="18"/>
      <c r="C160" s="18"/>
      <c r="D160" s="18"/>
      <c r="E160" s="18"/>
      <c r="F160" s="18"/>
      <c r="H160" s="18" t="str">
        <f aca="false">IF(COUNTIF(Заказы!$K$3:$K$29,"&gt;0")=0,"","Получатель: "&amp;Заказы!K$2)</f>
        <v/>
      </c>
      <c r="I160" s="18"/>
      <c r="J160" s="18"/>
      <c r="K160" s="18"/>
      <c r="L160" s="18"/>
      <c r="M160" s="18"/>
    </row>
    <row r="161" customFormat="false" ht="15" hidden="false" customHeight="false" outlineLevel="0" collapsed="false">
      <c r="A161" s="19" t="str">
        <f aca="false">IF(COUNTIF(Заказы!$J$3:$J$29,"&gt;0")=0,"","Накладная от: "&amp;TEXT(Заказы!$B$1,"dd.mm.yyyy"))</f>
        <v>Накладная от: 22.09.2026</v>
      </c>
      <c r="B161" s="19"/>
      <c r="C161" s="19"/>
      <c r="D161" s="19"/>
      <c r="E161" s="19"/>
      <c r="F161" s="19"/>
      <c r="H161" s="19" t="str">
        <f aca="false">IF(COUNTIF(Заказы!$K$3:$K$29,"&gt;0")=0,"","Накладная от: "&amp;TEXT(Заказы!$B$1,"dd.mm.yyyy"))</f>
        <v/>
      </c>
      <c r="I161" s="19"/>
      <c r="J161" s="19"/>
      <c r="K161" s="19"/>
      <c r="L161" s="19"/>
      <c r="M161" s="19"/>
    </row>
    <row r="163" customFormat="false" ht="15" hidden="false" customHeight="false" outlineLevel="0" collapsed="false">
      <c r="A163" s="4" t="str">
        <f aca="false">IF(COUNTIF(Заказы!$J$3:$J$29,"&gt;0")=0,"","№")</f>
        <v>№</v>
      </c>
      <c r="B163" s="4" t="str">
        <f aca="false">IF(COUNTIF(Заказы!$J$3:$J$29,"&gt;0")=0,"","Наименование")</f>
        <v>Наименование</v>
      </c>
      <c r="C163" s="4" t="str">
        <f aca="false">IF(COUNTIF(Заказы!$J$3:$J$29,"&gt;0")=0,"","Кол.")</f>
        <v>Кол.</v>
      </c>
      <c r="D163" s="4" t="str">
        <f aca="false">IF(COUNTIF(Заказы!$J$3:$J$29,"&gt;0")=0,"","Ед.")</f>
        <v>Ед.</v>
      </c>
      <c r="E163" s="4" t="str">
        <f aca="false">IF(COUNTIF(Заказы!$J$3:$J$29,"&gt;0")=0,"","Цена")</f>
        <v>Цена</v>
      </c>
      <c r="F163" s="4" t="str">
        <f aca="false">IF(COUNTIF(Заказы!$J$3:$J$29,"&gt;0")=0,"","Сумма")</f>
        <v>Сумма</v>
      </c>
      <c r="H163" s="4" t="str">
        <f aca="false">IF(COUNTIF(Заказы!$K$3:$K$29,"&gt;0")=0,"","№")</f>
        <v/>
      </c>
      <c r="I163" s="4" t="str">
        <f aca="false">IF(COUNTIF(Заказы!$K$3:$K$29,"&gt;0")=0,"","Наименование")</f>
        <v/>
      </c>
      <c r="J163" s="4" t="str">
        <f aca="false">IF(COUNTIF(Заказы!$K$3:$K$29,"&gt;0")=0,"","Кол.")</f>
        <v/>
      </c>
      <c r="K163" s="4" t="str">
        <f aca="false">IF(COUNTIF(Заказы!$K$3:$K$29,"&gt;0")=0,"","Ед.")</f>
        <v/>
      </c>
      <c r="L163" s="4" t="str">
        <f aca="false">IF(COUNTIF(Заказы!$K$3:$K$29,"&gt;0")=0,"","Цена")</f>
        <v/>
      </c>
      <c r="M163" s="4" t="str">
        <f aca="false">IF(COUNTIF(Заказы!$K$3:$K$29,"&gt;0")=0,"","Сумма")</f>
        <v/>
      </c>
    </row>
    <row r="164" customFormat="false" ht="15" hidden="false" customHeight="false" outlineLevel="0" collapsed="false">
      <c r="A164" s="20" t="n">
        <f aca="false">IF(B164="","",1)</f>
        <v>1</v>
      </c>
      <c r="B164" s="21" t="str">
        <f aca="false" t="array" ref="B164:B164">IFERROR(INDEX(Заказы!$A$3:$A$29,SMALL(IF(Заказы!$J$3:$J$29&gt;0,ROW(Заказы!$J$3:$J$29)-ROW(J$3)+1),1)),"")</f>
        <v>Вупи пай</v>
      </c>
      <c r="C164" s="7" t="n">
        <f aca="false">IF(B164="","",INDEX(Заказы!$J$3:$J$29,MATCH(B164,Заказы!$A$3:$A$29,0)))</f>
        <v>2</v>
      </c>
      <c r="D164" s="20" t="str">
        <f aca="false">IF(B164="","",VLOOKUP(B164,Каталог!$A:$C,2,0))</f>
        <v>Шт</v>
      </c>
      <c r="E164" s="22" t="n">
        <f aca="false">IF(B164="","",VLOOKUP(B164,Каталог!$A:$C,3,0))</f>
        <v>690</v>
      </c>
      <c r="F164" s="22" t="n">
        <f aca="false">IF(B164="","",C164*E164)</f>
        <v>1380</v>
      </c>
      <c r="H164" s="26" t="str">
        <f aca="false">IF(I164="","",1)</f>
        <v/>
      </c>
      <c r="I164" s="21" t="str">
        <f aca="false" t="array" ref="I164:I164">IFERROR(INDEX(Заказы!$A$3:$A$29,SMALL(IF(Заказы!$K$3:$K$29&gt;0,ROW(Заказы!$K$3:$K$29)-ROW(K$3)+1),1)),"")</f>
        <v/>
      </c>
      <c r="J164" s="26" t="str">
        <f aca="false">IF(I164="","",INDEX(Заказы!$K$3:$K$29,MATCH(I164,Заказы!$A$3:$A$29,0)))</f>
        <v/>
      </c>
      <c r="K164" s="26" t="str">
        <f aca="false">IF(I164="","",VLOOKUP(I164,Каталог!$A:$C,2,0))</f>
        <v/>
      </c>
      <c r="L164" s="22" t="str">
        <f aca="false">IF(I164="","",VLOOKUP(I164,Каталог!$A:$C,3,0))</f>
        <v/>
      </c>
      <c r="M164" s="22" t="str">
        <f aca="false">IF(I164="","",J164*L164)</f>
        <v/>
      </c>
    </row>
    <row r="165" customFormat="false" ht="15" hidden="false" customHeight="false" outlineLevel="0" collapsed="false">
      <c r="A165" s="20" t="str">
        <f aca="false">IF(B165="","",2)</f>
        <v/>
      </c>
      <c r="B165" s="21" t="str">
        <f aca="false" t="array" ref="B165:B165">IFERROR(INDEX(Заказы!$A$3:$A$29,SMALL(IF(Заказы!$J$3:$J$29&gt;0,ROW(Заказы!$J$3:$J$29)-ROW(J$3)+1),2)),"")</f>
        <v/>
      </c>
      <c r="C165" s="20" t="str">
        <f aca="false">IF(B165="","",INDEX(Заказы!$J$3:$J$29,MATCH(B165,Заказы!$A$3:$A$29,0)))</f>
        <v/>
      </c>
      <c r="D165" s="20" t="str">
        <f aca="false">IF(B165="","",VLOOKUP(B165,Каталог!$A:$C,2,0))</f>
        <v/>
      </c>
      <c r="E165" s="22" t="str">
        <f aca="false">IF(B165="","",VLOOKUP(B165,Каталог!$A:$C,3,0))</f>
        <v/>
      </c>
      <c r="F165" s="22" t="str">
        <f aca="false">IF(B165="","",C165*E165)</f>
        <v/>
      </c>
      <c r="H165" s="26" t="str">
        <f aca="false">IF(I165="","",2)</f>
        <v/>
      </c>
      <c r="I165" s="21" t="str">
        <f aca="false" t="array" ref="I165:I165">IFERROR(INDEX(Заказы!$A$3:$A$29,SMALL(IF(Заказы!$K$3:$K$29&gt;0,ROW(Заказы!$K$3:$K$29)-ROW(K$3)+1),2)),"")</f>
        <v/>
      </c>
      <c r="J165" s="26" t="str">
        <f aca="false">IF(I165="","",INDEX(Заказы!$K$3:$K$29,MATCH(I165,Заказы!$A$3:$A$29,0)))</f>
        <v/>
      </c>
      <c r="K165" s="26" t="str">
        <f aca="false">IF(I165="","",VLOOKUP(I165,Каталог!$A:$C,2,0))</f>
        <v/>
      </c>
      <c r="L165" s="22" t="str">
        <f aca="false">IF(I165="","",VLOOKUP(I165,Каталог!$A:$C,3,0))</f>
        <v/>
      </c>
      <c r="M165" s="22" t="str">
        <f aca="false">IF(I165="","",J165*L165)</f>
        <v/>
      </c>
    </row>
    <row r="166" customFormat="false" ht="15" hidden="false" customHeight="false" outlineLevel="0" collapsed="false">
      <c r="A166" s="20" t="str">
        <f aca="false">IF(B166="","",3)</f>
        <v/>
      </c>
      <c r="B166" s="21" t="str">
        <f aca="false" t="array" ref="B166:B166">IFERROR(INDEX(Заказы!$A$3:$A$29,SMALL(IF(Заказы!$J$3:$J$29&gt;0,ROW(Заказы!$J$3:$J$29)-ROW(J$3)+1),3)),"")</f>
        <v/>
      </c>
      <c r="C166" s="20" t="str">
        <f aca="false">IF(B166="","",INDEX(Заказы!$J$3:$J$29,MATCH(B166,Заказы!$A$3:$A$29,0)))</f>
        <v/>
      </c>
      <c r="D166" s="20" t="str">
        <f aca="false">IF(B166="","",VLOOKUP(B166,Каталог!$A:$C,2,0))</f>
        <v/>
      </c>
      <c r="E166" s="22" t="str">
        <f aca="false">IF(B166="","",VLOOKUP(B166,Каталог!$A:$C,3,0))</f>
        <v/>
      </c>
      <c r="F166" s="22" t="str">
        <f aca="false">IF(B166="","",C166*E166)</f>
        <v/>
      </c>
      <c r="H166" s="26" t="str">
        <f aca="false">IF(I166="","",3)</f>
        <v/>
      </c>
      <c r="I166" s="21" t="str">
        <f aca="false" t="array" ref="I166:I166">IFERROR(INDEX(Заказы!$A$3:$A$29,SMALL(IF(Заказы!$K$3:$K$29&gt;0,ROW(Заказы!$K$3:$K$29)-ROW(K$3)+1),3)),"")</f>
        <v/>
      </c>
      <c r="J166" s="26" t="str">
        <f aca="false">IF(I166="","",INDEX(Заказы!$K$3:$K$29,MATCH(I166,Заказы!$A$3:$A$29,0)))</f>
        <v/>
      </c>
      <c r="K166" s="26" t="str">
        <f aca="false">IF(I166="","",VLOOKUP(I166,Каталог!$A:$C,2,0))</f>
        <v/>
      </c>
      <c r="L166" s="22" t="str">
        <f aca="false">IF(I166="","",VLOOKUP(I166,Каталог!$A:$C,3,0))</f>
        <v/>
      </c>
      <c r="M166" s="22" t="str">
        <f aca="false">IF(I166="","",J166*L166)</f>
        <v/>
      </c>
    </row>
    <row r="167" customFormat="false" ht="15" hidden="false" customHeight="false" outlineLevel="0" collapsed="false">
      <c r="A167" s="20" t="str">
        <f aca="false">IF(B167="","",4)</f>
        <v/>
      </c>
      <c r="B167" s="21" t="str">
        <f aca="false" t="array" ref="B167:B167">IFERROR(INDEX(Заказы!$A$3:$A$29,SMALL(IF(Заказы!$J$3:$J$29&gt;0,ROW(Заказы!$J$3:$J$29)-ROW(J$3)+1),4)),"")</f>
        <v/>
      </c>
      <c r="C167" s="20" t="str">
        <f aca="false">IF(B167="","",INDEX(Заказы!$J$3:$J$29,MATCH(B167,Заказы!$A$3:$A$29,0)))</f>
        <v/>
      </c>
      <c r="D167" s="20" t="str">
        <f aca="false">IF(B167="","",VLOOKUP(B167,Каталог!$A:$C,2,0))</f>
        <v/>
      </c>
      <c r="E167" s="22" t="str">
        <f aca="false">IF(B167="","",VLOOKUP(B167,Каталог!$A:$C,3,0))</f>
        <v/>
      </c>
      <c r="F167" s="22" t="str">
        <f aca="false">IF(B167="","",C167*E167)</f>
        <v/>
      </c>
      <c r="H167" s="26" t="str">
        <f aca="false">IF(I167="","",4)</f>
        <v/>
      </c>
      <c r="I167" s="21" t="str">
        <f aca="false" t="array" ref="I167:I167">IFERROR(INDEX(Заказы!$A$3:$A$29,SMALL(IF(Заказы!$K$3:$K$29&gt;0,ROW(Заказы!$K$3:$K$29)-ROW(K$3)+1),4)),"")</f>
        <v/>
      </c>
      <c r="J167" s="26" t="str">
        <f aca="false">IF(I167="","",INDEX(Заказы!$K$3:$K$29,MATCH(I167,Заказы!$A$3:$A$29,0)))</f>
        <v/>
      </c>
      <c r="K167" s="26" t="str">
        <f aca="false">IF(I167="","",VLOOKUP(I167,Каталог!$A:$C,2,0))</f>
        <v/>
      </c>
      <c r="L167" s="22" t="str">
        <f aca="false">IF(I167="","",VLOOKUP(I167,Каталог!$A:$C,3,0))</f>
        <v/>
      </c>
      <c r="M167" s="22" t="str">
        <f aca="false">IF(I167="","",J167*L167)</f>
        <v/>
      </c>
    </row>
    <row r="168" customFormat="false" ht="15" hidden="false" customHeight="false" outlineLevel="0" collapsed="false">
      <c r="A168" s="20" t="str">
        <f aca="false">IF(B168="","",5)</f>
        <v/>
      </c>
      <c r="B168" s="21" t="str">
        <f aca="false" t="array" ref="B168:B168">IFERROR(INDEX(Заказы!$A$3:$A$29,SMALL(IF(Заказы!$J$3:$J$29&gt;0,ROW(Заказы!$J$3:$J$29)-ROW(J$3)+1),5)),"")</f>
        <v/>
      </c>
      <c r="C168" s="20" t="str">
        <f aca="false">IF(B168="","",INDEX(Заказы!$J$3:$J$29,MATCH(B168,Заказы!$A$3:$A$29,0)))</f>
        <v/>
      </c>
      <c r="D168" s="20" t="str">
        <f aca="false">IF(B168="","",VLOOKUP(B168,Каталог!$A:$C,2,0))</f>
        <v/>
      </c>
      <c r="E168" s="22" t="str">
        <f aca="false">IF(B168="","",VLOOKUP(B168,Каталог!$A:$C,3,0))</f>
        <v/>
      </c>
      <c r="F168" s="22" t="str">
        <f aca="false">IF(B168="","",C168*E168)</f>
        <v/>
      </c>
      <c r="H168" s="26" t="str">
        <f aca="false">IF(I168="","",5)</f>
        <v/>
      </c>
      <c r="I168" s="21" t="str">
        <f aca="false" t="array" ref="I168:I168">IFERROR(INDEX(Заказы!$A$3:$A$29,SMALL(IF(Заказы!$K$3:$K$29&gt;0,ROW(Заказы!$K$3:$K$29)-ROW(K$3)+1),5)),"")</f>
        <v/>
      </c>
      <c r="J168" s="26" t="str">
        <f aca="false">IF(I168="","",INDEX(Заказы!$K$3:$K$29,MATCH(I168,Заказы!$A$3:$A$29,0)))</f>
        <v/>
      </c>
      <c r="K168" s="26" t="str">
        <f aca="false">IF(I168="","",VLOOKUP(I168,Каталог!$A:$C,2,0))</f>
        <v/>
      </c>
      <c r="L168" s="22" t="str">
        <f aca="false">IF(I168="","",VLOOKUP(I168,Каталог!$A:$C,3,0))</f>
        <v/>
      </c>
      <c r="M168" s="22" t="str">
        <f aca="false">IF(I168="","",J168*L168)</f>
        <v/>
      </c>
    </row>
    <row r="169" customFormat="false" ht="15" hidden="false" customHeight="false" outlineLevel="0" collapsed="false">
      <c r="A169" s="20" t="str">
        <f aca="false">IF(B169="","",6)</f>
        <v/>
      </c>
      <c r="B169" s="21" t="str">
        <f aca="false" t="array" ref="B169:B169">IFERROR(INDEX(Заказы!$A$3:$A$29,SMALL(IF(Заказы!$J$3:$J$29&gt;0,ROW(Заказы!$J$3:$J$29)-ROW(J$3)+1),6)),"")</f>
        <v/>
      </c>
      <c r="C169" s="20" t="str">
        <f aca="false">IF(B169="","",INDEX(Заказы!$J$3:$J$29,MATCH(B169,Заказы!$A$3:$A$29,0)))</f>
        <v/>
      </c>
      <c r="D169" s="20" t="str">
        <f aca="false">IF(B169="","",VLOOKUP(B169,Каталог!$A:$C,2,0))</f>
        <v/>
      </c>
      <c r="E169" s="22" t="str">
        <f aca="false">IF(B169="","",VLOOKUP(B169,Каталог!$A:$C,3,0))</f>
        <v/>
      </c>
      <c r="F169" s="22" t="str">
        <f aca="false">IF(B169="","",C169*E169)</f>
        <v/>
      </c>
      <c r="H169" s="26" t="str">
        <f aca="false">IF(I169="","",6)</f>
        <v/>
      </c>
      <c r="I169" s="21" t="str">
        <f aca="false" t="array" ref="I169:I169">IFERROR(INDEX(Заказы!$A$3:$A$29,SMALL(IF(Заказы!$K$3:$K$29&gt;0,ROW(Заказы!$K$3:$K$29)-ROW(K$3)+1),6)),"")</f>
        <v/>
      </c>
      <c r="J169" s="26" t="str">
        <f aca="false">IF(I169="","",INDEX(Заказы!$K$3:$K$29,MATCH(I169,Заказы!$A$3:$A$29,0)))</f>
        <v/>
      </c>
      <c r="K169" s="26" t="str">
        <f aca="false">IF(I169="","",VLOOKUP(I169,Каталог!$A:$C,2,0))</f>
        <v/>
      </c>
      <c r="L169" s="22" t="str">
        <f aca="false">IF(I169="","",VLOOKUP(I169,Каталог!$A:$C,3,0))</f>
        <v/>
      </c>
      <c r="M169" s="22" t="str">
        <f aca="false">IF(I169="","",J169*L169)</f>
        <v/>
      </c>
    </row>
    <row r="170" customFormat="false" ht="15" hidden="false" customHeight="false" outlineLevel="0" collapsed="false">
      <c r="A170" s="20" t="str">
        <f aca="false">IF(B170="","",7)</f>
        <v/>
      </c>
      <c r="B170" s="21" t="str">
        <f aca="false" t="array" ref="B170:B170">IFERROR(INDEX(Заказы!$A$3:$A$29,SMALL(IF(Заказы!$J$3:$J$29&gt;0,ROW(Заказы!$J$3:$J$29)-ROW(J$3)+1),7)),"")</f>
        <v/>
      </c>
      <c r="C170" s="20" t="str">
        <f aca="false">IF(B170="","",INDEX(Заказы!$J$3:$J$29,MATCH(B170,Заказы!$A$3:$A$29,0)))</f>
        <v/>
      </c>
      <c r="D170" s="20" t="str">
        <f aca="false">IF(B170="","",VLOOKUP(B170,Каталог!$A:$C,2,0))</f>
        <v/>
      </c>
      <c r="E170" s="22" t="str">
        <f aca="false">IF(B170="","",VLOOKUP(B170,Каталог!$A:$C,3,0))</f>
        <v/>
      </c>
      <c r="F170" s="22" t="str">
        <f aca="false">IF(B170="","",C170*E170)</f>
        <v/>
      </c>
      <c r="H170" s="26" t="str">
        <f aca="false">IF(I170="","",7)</f>
        <v/>
      </c>
      <c r="I170" s="21" t="str">
        <f aca="false" t="array" ref="I170:I170">IFERROR(INDEX(Заказы!$A$3:$A$29,SMALL(IF(Заказы!$K$3:$K$29&gt;0,ROW(Заказы!$K$3:$K$29)-ROW(K$3)+1),7)),"")</f>
        <v/>
      </c>
      <c r="J170" s="26" t="str">
        <f aca="false">IF(I170="","",INDEX(Заказы!$K$3:$K$29,MATCH(I170,Заказы!$A$3:$A$29,0)))</f>
        <v/>
      </c>
      <c r="K170" s="26" t="str">
        <f aca="false">IF(I170="","",VLOOKUP(I170,Каталог!$A:$C,2,0))</f>
        <v/>
      </c>
      <c r="L170" s="22" t="str">
        <f aca="false">IF(I170="","",VLOOKUP(I170,Каталог!$A:$C,3,0))</f>
        <v/>
      </c>
      <c r="M170" s="22" t="str">
        <f aca="false">IF(I170="","",J170*L170)</f>
        <v/>
      </c>
    </row>
    <row r="171" customFormat="false" ht="15" hidden="false" customHeight="false" outlineLevel="0" collapsed="false">
      <c r="A171" s="20" t="str">
        <f aca="false">IF(B171="","",8)</f>
        <v/>
      </c>
      <c r="B171" s="21" t="str">
        <f aca="false" t="array" ref="B171:B171">IFERROR(INDEX(Заказы!$A$3:$A$29,SMALL(IF(Заказы!$J$3:$J$29&gt;0,ROW(Заказы!$J$3:$J$29)-ROW(J$3)+1),8)),"")</f>
        <v/>
      </c>
      <c r="C171" s="20" t="str">
        <f aca="false">IF(B171="","",INDEX(Заказы!$J$3:$J$29,MATCH(B171,Заказы!$A$3:$A$29,0)))</f>
        <v/>
      </c>
      <c r="D171" s="20" t="str">
        <f aca="false">IF(B171="","",VLOOKUP(B171,Каталог!$A:$C,2,0))</f>
        <v/>
      </c>
      <c r="E171" s="22" t="str">
        <f aca="false">IF(B171="","",VLOOKUP(B171,Каталог!$A:$C,3,0))</f>
        <v/>
      </c>
      <c r="F171" s="22" t="str">
        <f aca="false">IF(B171="","",C171*E171)</f>
        <v/>
      </c>
      <c r="H171" s="26" t="str">
        <f aca="false">IF(I171="","",8)</f>
        <v/>
      </c>
      <c r="I171" s="21" t="str">
        <f aca="false" t="array" ref="I171:I171">IFERROR(INDEX(Заказы!$A$3:$A$29,SMALL(IF(Заказы!$K$3:$K$29&gt;0,ROW(Заказы!$K$3:$K$29)-ROW(K$3)+1),8)),"")</f>
        <v/>
      </c>
      <c r="J171" s="26" t="str">
        <f aca="false">IF(I171="","",INDEX(Заказы!$K$3:$K$29,MATCH(I171,Заказы!$A$3:$A$29,0)))</f>
        <v/>
      </c>
      <c r="K171" s="26" t="str">
        <f aca="false">IF(I171="","",VLOOKUP(I171,Каталог!$A:$C,2,0))</f>
        <v/>
      </c>
      <c r="L171" s="22" t="str">
        <f aca="false">IF(I171="","",VLOOKUP(I171,Каталог!$A:$C,3,0))</f>
        <v/>
      </c>
      <c r="M171" s="22" t="str">
        <f aca="false">IF(I171="","",J171*L171)</f>
        <v/>
      </c>
    </row>
    <row r="172" customFormat="false" ht="15" hidden="false" customHeight="false" outlineLevel="0" collapsed="false">
      <c r="A172" s="20" t="str">
        <f aca="false">IF(B172="","",9)</f>
        <v/>
      </c>
      <c r="B172" s="21" t="str">
        <f aca="false" t="array" ref="B172:B172">IFERROR(INDEX(Заказы!$A$3:$A$29,SMALL(IF(Заказы!$J$3:$J$29&gt;0,ROW(Заказы!$J$3:$J$29)-ROW(J$3)+1),9)),"")</f>
        <v/>
      </c>
      <c r="C172" s="20" t="str">
        <f aca="false">IF(B172="","",INDEX(Заказы!$J$3:$J$29,MATCH(B172,Заказы!$A$3:$A$29,0)))</f>
        <v/>
      </c>
      <c r="D172" s="20" t="str">
        <f aca="false">IF(B172="","",VLOOKUP(B172,Каталог!$A:$C,2,0))</f>
        <v/>
      </c>
      <c r="E172" s="22" t="str">
        <f aca="false">IF(B172="","",VLOOKUP(B172,Каталог!$A:$C,3,0))</f>
        <v/>
      </c>
      <c r="F172" s="22" t="str">
        <f aca="false">IF(B172="","",C172*E172)</f>
        <v/>
      </c>
      <c r="H172" s="26" t="str">
        <f aca="false">IF(I172="","",9)</f>
        <v/>
      </c>
      <c r="I172" s="21" t="str">
        <f aca="false" t="array" ref="I172:I172">IFERROR(INDEX(Заказы!$A$3:$A$29,SMALL(IF(Заказы!$K$3:$K$29&gt;0,ROW(Заказы!$K$3:$K$29)-ROW(K$3)+1),9)),"")</f>
        <v/>
      </c>
      <c r="J172" s="26" t="str">
        <f aca="false">IF(I172="","",INDEX(Заказы!$K$3:$K$29,MATCH(I172,Заказы!$A$3:$A$29,0)))</f>
        <v/>
      </c>
      <c r="K172" s="26" t="str">
        <f aca="false">IF(I172="","",VLOOKUP(I172,Каталог!$A:$C,2,0))</f>
        <v/>
      </c>
      <c r="L172" s="22" t="str">
        <f aca="false">IF(I172="","",VLOOKUP(I172,Каталог!$A:$C,3,0))</f>
        <v/>
      </c>
      <c r="M172" s="22" t="str">
        <f aca="false">IF(I172="","",J172*L172)</f>
        <v/>
      </c>
    </row>
    <row r="173" customFormat="false" ht="15" hidden="false" customHeight="false" outlineLevel="0" collapsed="false">
      <c r="A173" s="20" t="str">
        <f aca="false">IF(B173="","",10)</f>
        <v/>
      </c>
      <c r="B173" s="21" t="str">
        <f aca="false" t="array" ref="B173:B173">IFERROR(INDEX(Заказы!$A$3:$A$29,SMALL(IF(Заказы!$J$3:$J$29&gt;0,ROW(Заказы!$J$3:$J$29)-ROW(J$3)+1),10)),"")</f>
        <v/>
      </c>
      <c r="C173" s="20" t="str">
        <f aca="false">IF(B173="","",INDEX(Заказы!$J$3:$J$29,MATCH(B173,Заказы!$A$3:$A$29,0)))</f>
        <v/>
      </c>
      <c r="D173" s="20" t="str">
        <f aca="false">IF(B173="","",VLOOKUP(B173,Каталог!$A:$C,2,0))</f>
        <v/>
      </c>
      <c r="E173" s="22" t="str">
        <f aca="false">IF(B173="","",VLOOKUP(B173,Каталог!$A:$C,3,0))</f>
        <v/>
      </c>
      <c r="F173" s="22" t="str">
        <f aca="false">IF(B173="","",C173*E173)</f>
        <v/>
      </c>
      <c r="H173" s="26" t="str">
        <f aca="false">IF(I173="","",10)</f>
        <v/>
      </c>
      <c r="I173" s="21" t="str">
        <f aca="false" t="array" ref="I173:I173">IFERROR(INDEX(Заказы!$A$3:$A$29,SMALL(IF(Заказы!$K$3:$K$29&gt;0,ROW(Заказы!$K$3:$K$29)-ROW(K$3)+1),10)),"")</f>
        <v/>
      </c>
      <c r="J173" s="26" t="str">
        <f aca="false">IF(I173="","",INDEX(Заказы!$K$3:$K$29,MATCH(I173,Заказы!$A$3:$A$29,0)))</f>
        <v/>
      </c>
      <c r="K173" s="26" t="str">
        <f aca="false">IF(I173="","",VLOOKUP(I173,Каталог!$A:$C,2,0))</f>
        <v/>
      </c>
      <c r="L173" s="22" t="str">
        <f aca="false">IF(I173="","",VLOOKUP(I173,Каталог!$A:$C,3,0))</f>
        <v/>
      </c>
      <c r="M173" s="22" t="str">
        <f aca="false">IF(I173="","",J173*L173)</f>
        <v/>
      </c>
    </row>
    <row r="174" customFormat="false" ht="15" hidden="false" customHeight="false" outlineLevel="0" collapsed="false">
      <c r="A174" s="20" t="str">
        <f aca="false">IF(B174="","",11)</f>
        <v/>
      </c>
      <c r="B174" s="21" t="str">
        <f aca="false" t="array" ref="B174:B174">IFERROR(INDEX(Заказы!$A$3:$A$29,SMALL(IF(Заказы!$J$3:$J$29&gt;0,ROW(Заказы!$J$3:$J$29)-ROW(J$3)+1),11)),"")</f>
        <v/>
      </c>
      <c r="C174" s="20" t="str">
        <f aca="false">IF(B174="","",INDEX(Заказы!$J$3:$J$29,MATCH(B174,Заказы!$A$3:$A$29,0)))</f>
        <v/>
      </c>
      <c r="D174" s="20" t="str">
        <f aca="false">IF(B174="","",VLOOKUP(B174,Каталог!$A:$C,2,0))</f>
        <v/>
      </c>
      <c r="E174" s="22" t="str">
        <f aca="false">IF(B174="","",VLOOKUP(B174,Каталог!$A:$C,3,0))</f>
        <v/>
      </c>
      <c r="F174" s="22" t="str">
        <f aca="false">IF(B174="","",C174*E174)</f>
        <v/>
      </c>
      <c r="H174" s="26" t="str">
        <f aca="false">IF(I174="","",11)</f>
        <v/>
      </c>
      <c r="I174" s="21" t="str">
        <f aca="false" t="array" ref="I174:I174">IFERROR(INDEX(Заказы!$A$3:$A$29,SMALL(IF(Заказы!$K$3:$K$29&gt;0,ROW(Заказы!$K$3:$K$29)-ROW(K$3)+1),11)),"")</f>
        <v/>
      </c>
      <c r="J174" s="26" t="str">
        <f aca="false">IF(I174="","",INDEX(Заказы!$K$3:$K$29,MATCH(I174,Заказы!$A$3:$A$29,0)))</f>
        <v/>
      </c>
      <c r="K174" s="26" t="str">
        <f aca="false">IF(I174="","",VLOOKUP(I174,Каталог!$A:$C,2,0))</f>
        <v/>
      </c>
      <c r="L174" s="22" t="str">
        <f aca="false">IF(I174="","",VLOOKUP(I174,Каталог!$A:$C,3,0))</f>
        <v/>
      </c>
      <c r="M174" s="22" t="str">
        <f aca="false">IF(I174="","",J174*L174)</f>
        <v/>
      </c>
    </row>
    <row r="175" customFormat="false" ht="15" hidden="false" customHeight="false" outlineLevel="0" collapsed="false">
      <c r="A175" s="20" t="str">
        <f aca="false">IF(B175="","",12)</f>
        <v/>
      </c>
      <c r="B175" s="21" t="str">
        <f aca="false" t="array" ref="B175:B175">IFERROR(INDEX(Заказы!$A$3:$A$29,SMALL(IF(Заказы!$J$3:$J$29&gt;0,ROW(Заказы!$J$3:$J$29)-ROW(J$3)+1),12)),"")</f>
        <v/>
      </c>
      <c r="C175" s="20" t="str">
        <f aca="false">IF(B175="","",INDEX(Заказы!$J$3:$J$29,MATCH(B175,Заказы!$A$3:$A$29,0)))</f>
        <v/>
      </c>
      <c r="D175" s="20" t="str">
        <f aca="false">IF(B175="","",VLOOKUP(B175,Каталог!$A:$C,2,0))</f>
        <v/>
      </c>
      <c r="E175" s="22" t="str">
        <f aca="false">IF(B175="","",VLOOKUP(B175,Каталог!$A:$C,3,0))</f>
        <v/>
      </c>
      <c r="F175" s="22" t="str">
        <f aca="false">IF(B175="","",C175*E175)</f>
        <v/>
      </c>
      <c r="H175" s="26" t="str">
        <f aca="false">IF(I175="","",12)</f>
        <v/>
      </c>
      <c r="I175" s="21" t="str">
        <f aca="false" t="array" ref="I175:I175">IFERROR(INDEX(Заказы!$A$3:$A$29,SMALL(IF(Заказы!$K$3:$K$29&gt;0,ROW(Заказы!$K$3:$K$29)-ROW(K$3)+1),12)),"")</f>
        <v/>
      </c>
      <c r="J175" s="26" t="str">
        <f aca="false">IF(I175="","",INDEX(Заказы!$K$3:$K$29,MATCH(I175,Заказы!$A$3:$A$29,0)))</f>
        <v/>
      </c>
      <c r="K175" s="26" t="str">
        <f aca="false">IF(I175="","",VLOOKUP(I175,Каталог!$A:$C,2,0))</f>
        <v/>
      </c>
      <c r="L175" s="22" t="str">
        <f aca="false">IF(I175="","",VLOOKUP(I175,Каталог!$A:$C,3,0))</f>
        <v/>
      </c>
      <c r="M175" s="22" t="str">
        <f aca="false">IF(I175="","",J175*L175)</f>
        <v/>
      </c>
    </row>
    <row r="176" customFormat="false" ht="15" hidden="false" customHeight="false" outlineLevel="0" collapsed="false">
      <c r="A176" s="20" t="str">
        <f aca="false">IF(B176="","",13)</f>
        <v/>
      </c>
      <c r="B176" s="21" t="str">
        <f aca="false" t="array" ref="B176:B176">IFERROR(INDEX(Заказы!$A$3:$A$29,SMALL(IF(Заказы!$J$3:$J$29&gt;0,ROW(Заказы!$J$3:$J$29)-ROW(J$3)+1),13)),"")</f>
        <v/>
      </c>
      <c r="C176" s="20" t="str">
        <f aca="false">IF(B176="","",INDEX(Заказы!$J$3:$J$29,MATCH(B176,Заказы!$A$3:$A$29,0)))</f>
        <v/>
      </c>
      <c r="D176" s="20" t="str">
        <f aca="false">IF(B176="","",VLOOKUP(B176,Каталог!$A:$C,2,0))</f>
        <v/>
      </c>
      <c r="E176" s="22" t="str">
        <f aca="false">IF(B176="","",VLOOKUP(B176,Каталог!$A:$C,3,0))</f>
        <v/>
      </c>
      <c r="F176" s="22" t="str">
        <f aca="false">IF(B176="","",C176*E176)</f>
        <v/>
      </c>
      <c r="H176" s="26" t="str">
        <f aca="false">IF(I176="","",13)</f>
        <v/>
      </c>
      <c r="I176" s="21" t="str">
        <f aca="false" t="array" ref="I176:I176">IFERROR(INDEX(Заказы!$A$3:$A$29,SMALL(IF(Заказы!$K$3:$K$29&gt;0,ROW(Заказы!$K$3:$K$29)-ROW(K$3)+1),13)),"")</f>
        <v/>
      </c>
      <c r="J176" s="26" t="str">
        <f aca="false">IF(I176="","",INDEX(Заказы!$K$3:$K$29,MATCH(I176,Заказы!$A$3:$A$29,0)))</f>
        <v/>
      </c>
      <c r="K176" s="26" t="str">
        <f aca="false">IF(I176="","",VLOOKUP(I176,Каталог!$A:$C,2,0))</f>
        <v/>
      </c>
      <c r="L176" s="22" t="str">
        <f aca="false">IF(I176="","",VLOOKUP(I176,Каталог!$A:$C,3,0))</f>
        <v/>
      </c>
      <c r="M176" s="22" t="str">
        <f aca="false">IF(I176="","",J176*L176)</f>
        <v/>
      </c>
    </row>
    <row r="177" customFormat="false" ht="15" hidden="false" customHeight="false" outlineLevel="0" collapsed="false">
      <c r="A177" s="20" t="str">
        <f aca="false">IF(B177="","",14)</f>
        <v/>
      </c>
      <c r="B177" s="21" t="str">
        <f aca="false" t="array" ref="B177:B177">IFERROR(INDEX(Заказы!$A$3:$A$29,SMALL(IF(Заказы!$J$3:$J$29&gt;0,ROW(Заказы!$J$3:$J$29)-ROW(J$3)+1),14)),"")</f>
        <v/>
      </c>
      <c r="C177" s="20" t="str">
        <f aca="false">IF(B177="","",INDEX(Заказы!$J$3:$J$29,MATCH(B177,Заказы!$A$3:$A$29,0)))</f>
        <v/>
      </c>
      <c r="D177" s="20" t="str">
        <f aca="false">IF(B177="","",VLOOKUP(B177,Каталог!$A:$C,2,0))</f>
        <v/>
      </c>
      <c r="E177" s="22" t="str">
        <f aca="false">IF(B177="","",VLOOKUP(B177,Каталог!$A:$C,3,0))</f>
        <v/>
      </c>
      <c r="F177" s="22" t="str">
        <f aca="false">IF(B177="","",C177*E177)</f>
        <v/>
      </c>
      <c r="H177" s="26" t="str">
        <f aca="false">IF(I177="","",14)</f>
        <v/>
      </c>
      <c r="I177" s="21" t="str">
        <f aca="false" t="array" ref="I177:I177">IFERROR(INDEX(Заказы!$A$3:$A$29,SMALL(IF(Заказы!$K$3:$K$29&gt;0,ROW(Заказы!$K$3:$K$29)-ROW(K$3)+1),14)),"")</f>
        <v/>
      </c>
      <c r="J177" s="26" t="str">
        <f aca="false">IF(I177="","",INDEX(Заказы!$K$3:$K$29,MATCH(I177,Заказы!$A$3:$A$29,0)))</f>
        <v/>
      </c>
      <c r="K177" s="26" t="str">
        <f aca="false">IF(I177="","",VLOOKUP(I177,Каталог!$A:$C,2,0))</f>
        <v/>
      </c>
      <c r="L177" s="22" t="str">
        <f aca="false">IF(I177="","",VLOOKUP(I177,Каталог!$A:$C,3,0))</f>
        <v/>
      </c>
      <c r="M177" s="22" t="str">
        <f aca="false">IF(I177="","",J177*L177)</f>
        <v/>
      </c>
    </row>
    <row r="178" customFormat="false" ht="15" hidden="false" customHeight="false" outlineLevel="0" collapsed="false">
      <c r="A178" s="20" t="str">
        <f aca="false">IF(B178="","",15)</f>
        <v/>
      </c>
      <c r="B178" s="21" t="str">
        <f aca="false" t="array" ref="B178:B178">IFERROR(INDEX(Заказы!$A$3:$A$29,SMALL(IF(Заказы!$J$3:$J$29&gt;0,ROW(Заказы!$J$3:$J$29)-ROW(J$3)+1),15)),"")</f>
        <v/>
      </c>
      <c r="C178" s="20" t="str">
        <f aca="false">IF(B178="","",INDEX(Заказы!$J$3:$J$29,MATCH(B178,Заказы!$A$3:$A$29,0)))</f>
        <v/>
      </c>
      <c r="D178" s="20" t="str">
        <f aca="false">IF(B178="","",VLOOKUP(B178,Каталог!$A:$C,2,0))</f>
        <v/>
      </c>
      <c r="E178" s="22" t="str">
        <f aca="false">IF(B178="","",VLOOKUP(B178,Каталог!$A:$C,3,0))</f>
        <v/>
      </c>
      <c r="F178" s="22" t="str">
        <f aca="false">IF(B178="","",C178*E178)</f>
        <v/>
      </c>
      <c r="H178" s="26" t="str">
        <f aca="false">IF(I178="","",15)</f>
        <v/>
      </c>
      <c r="I178" s="21" t="str">
        <f aca="false" t="array" ref="I178:I178">IFERROR(INDEX(Заказы!$A$3:$A$29,SMALL(IF(Заказы!$K$3:$K$29&gt;0,ROW(Заказы!$K$3:$K$29)-ROW(K$3)+1),15)),"")</f>
        <v/>
      </c>
      <c r="J178" s="26" t="str">
        <f aca="false">IF(I178="","",INDEX(Заказы!$K$3:$K$29,MATCH(I178,Заказы!$A$3:$A$29,0)))</f>
        <v/>
      </c>
      <c r="K178" s="26" t="str">
        <f aca="false">IF(I178="","",VLOOKUP(I178,Каталог!$A:$C,2,0))</f>
        <v/>
      </c>
      <c r="L178" s="22" t="str">
        <f aca="false">IF(I178="","",VLOOKUP(I178,Каталог!$A:$C,3,0))</f>
        <v/>
      </c>
      <c r="M178" s="22" t="str">
        <f aca="false">IF(I178="","",J178*L178)</f>
        <v/>
      </c>
    </row>
    <row r="179" customFormat="false" ht="15" hidden="false" customHeight="false" outlineLevel="0" collapsed="false">
      <c r="A179" s="20" t="str">
        <f aca="false">IF(B179="","",16)</f>
        <v/>
      </c>
      <c r="B179" s="21" t="str">
        <f aca="false" t="array" ref="B179:B179">IFERROR(INDEX(Заказы!$A$3:$A$29,SMALL(IF(Заказы!$J$3:$J$29&gt;0,ROW(Заказы!$J$3:$J$29)-ROW(J$3)+1),16)),"")</f>
        <v/>
      </c>
      <c r="C179" s="20" t="str">
        <f aca="false">IF(B179="","",INDEX(Заказы!$J$3:$J$29,MATCH(B179,Заказы!$A$3:$A$29,0)))</f>
        <v/>
      </c>
      <c r="D179" s="20" t="str">
        <f aca="false">IF(B179="","",VLOOKUP(B179,Каталог!$A:$C,2,0))</f>
        <v/>
      </c>
      <c r="E179" s="22" t="str">
        <f aca="false">IF(B179="","",VLOOKUP(B179,Каталог!$A:$C,3,0))</f>
        <v/>
      </c>
      <c r="F179" s="22" t="str">
        <f aca="false">IF(B179="","",C179*E179)</f>
        <v/>
      </c>
      <c r="H179" s="26" t="str">
        <f aca="false">IF(I179="","",16)</f>
        <v/>
      </c>
      <c r="I179" s="21" t="str">
        <f aca="false" t="array" ref="I179:I179">IFERROR(INDEX(Заказы!$A$3:$A$29,SMALL(IF(Заказы!$K$3:$K$29&gt;0,ROW(Заказы!$K$3:$K$29)-ROW(K$3)+1),16)),"")</f>
        <v/>
      </c>
      <c r="J179" s="26" t="str">
        <f aca="false">IF(I179="","",INDEX(Заказы!$K$3:$K$29,MATCH(I179,Заказы!$A$3:$A$29,0)))</f>
        <v/>
      </c>
      <c r="K179" s="26" t="str">
        <f aca="false">IF(I179="","",VLOOKUP(I179,Каталог!$A:$C,2,0))</f>
        <v/>
      </c>
      <c r="L179" s="22" t="str">
        <f aca="false">IF(I179="","",VLOOKUP(I179,Каталог!$A:$C,3,0))</f>
        <v/>
      </c>
      <c r="M179" s="22" t="str">
        <f aca="false">IF(I179="","",J179*L179)</f>
        <v/>
      </c>
    </row>
    <row r="180" customFormat="false" ht="15" hidden="false" customHeight="false" outlineLevel="0" collapsed="false">
      <c r="A180" s="20" t="str">
        <f aca="false">IF(B180="","",17)</f>
        <v/>
      </c>
      <c r="B180" s="21" t="str">
        <f aca="false" t="array" ref="B180:B180">IFERROR(INDEX(Заказы!$A$3:$A$29,SMALL(IF(Заказы!$J$3:$J$29&gt;0,ROW(Заказы!$J$3:$J$29)-ROW(J$3)+1),17)),"")</f>
        <v/>
      </c>
      <c r="C180" s="20" t="str">
        <f aca="false">IF(B180="","",INDEX(Заказы!$J$3:$J$29,MATCH(B180,Заказы!$A$3:$A$29,0)))</f>
        <v/>
      </c>
      <c r="D180" s="20" t="str">
        <f aca="false">IF(B180="","",VLOOKUP(B180,Каталог!$A:$C,2,0))</f>
        <v/>
      </c>
      <c r="E180" s="22" t="str">
        <f aca="false">IF(B180="","",VLOOKUP(B180,Каталог!$A:$C,3,0))</f>
        <v/>
      </c>
      <c r="F180" s="22" t="str">
        <f aca="false">IF(B180="","",C180*E180)</f>
        <v/>
      </c>
      <c r="H180" s="26" t="str">
        <f aca="false">IF(I180="","",17)</f>
        <v/>
      </c>
      <c r="I180" s="21" t="str">
        <f aca="false" t="array" ref="I180:I180">IFERROR(INDEX(Заказы!$A$3:$A$29,SMALL(IF(Заказы!$K$3:$K$29&gt;0,ROW(Заказы!$K$3:$K$29)-ROW(K$3)+1),17)),"")</f>
        <v/>
      </c>
      <c r="J180" s="26" t="str">
        <f aca="false">IF(I180="","",INDEX(Заказы!$K$3:$K$29,MATCH(I180,Заказы!$A$3:$A$29,0)))</f>
        <v/>
      </c>
      <c r="K180" s="26" t="str">
        <f aca="false">IF(I180="","",VLOOKUP(I180,Каталог!$A:$C,2,0))</f>
        <v/>
      </c>
      <c r="L180" s="22" t="str">
        <f aca="false">IF(I180="","",VLOOKUP(I180,Каталог!$A:$C,3,0))</f>
        <v/>
      </c>
      <c r="M180" s="22" t="str">
        <f aca="false">IF(I180="","",J180*L180)</f>
        <v/>
      </c>
    </row>
    <row r="181" customFormat="false" ht="15" hidden="false" customHeight="false" outlineLevel="0" collapsed="false">
      <c r="A181" s="20" t="str">
        <f aca="false">IF(B181="","",18)</f>
        <v/>
      </c>
      <c r="B181" s="21" t="str">
        <f aca="false" t="array" ref="B181:B181">IFERROR(INDEX(Заказы!$A$3:$A$29,SMALL(IF(Заказы!$J$3:$J$29&gt;0,ROW(Заказы!$J$3:$J$29)-ROW(J$3)+1),18)),"")</f>
        <v/>
      </c>
      <c r="C181" s="20" t="str">
        <f aca="false">IF(B181="","",INDEX(Заказы!$J$3:$J$29,MATCH(B181,Заказы!$A$3:$A$29,0)))</f>
        <v/>
      </c>
      <c r="D181" s="20" t="str">
        <f aca="false">IF(B181="","",VLOOKUP(B181,Каталог!$A:$C,2,0))</f>
        <v/>
      </c>
      <c r="E181" s="22" t="str">
        <f aca="false">IF(B181="","",VLOOKUP(B181,Каталог!$A:$C,3,0))</f>
        <v/>
      </c>
      <c r="F181" s="22" t="str">
        <f aca="false">IF(B181="","",C181*E181)</f>
        <v/>
      </c>
      <c r="H181" s="26" t="str">
        <f aca="false">IF(I181="","",18)</f>
        <v/>
      </c>
      <c r="I181" s="21" t="str">
        <f aca="false" t="array" ref="I181:I181">IFERROR(INDEX(Заказы!$A$3:$A$29,SMALL(IF(Заказы!$K$3:$K$29&gt;0,ROW(Заказы!$K$3:$K$29)-ROW(K$3)+1),18)),"")</f>
        <v/>
      </c>
      <c r="J181" s="26" t="str">
        <f aca="false">IF(I181="","",INDEX(Заказы!$K$3:$K$29,MATCH(I181,Заказы!$A$3:$A$29,0)))</f>
        <v/>
      </c>
      <c r="K181" s="26" t="str">
        <f aca="false">IF(I181="","",VLOOKUP(I181,Каталог!$A:$C,2,0))</f>
        <v/>
      </c>
      <c r="L181" s="22" t="str">
        <f aca="false">IF(I181="","",VLOOKUP(I181,Каталог!$A:$C,3,0))</f>
        <v/>
      </c>
      <c r="M181" s="22" t="str">
        <f aca="false">IF(I181="","",J181*L181)</f>
        <v/>
      </c>
    </row>
    <row r="182" customFormat="false" ht="15" hidden="false" customHeight="false" outlineLevel="0" collapsed="false">
      <c r="A182" s="20" t="str">
        <f aca="false">IF(B182="","",19)</f>
        <v/>
      </c>
      <c r="B182" s="21" t="str">
        <f aca="false" t="array" ref="B182:B182">IFERROR(INDEX(Заказы!$A$3:$A$29,SMALL(IF(Заказы!$J$3:$J$29&gt;0,ROW(Заказы!$J$3:$J$29)-ROW(J$3)+1),19)),"")</f>
        <v/>
      </c>
      <c r="C182" s="20" t="str">
        <f aca="false">IF(B182="","",INDEX(Заказы!$J$3:$J$29,MATCH(B182,Заказы!$A$3:$A$29,0)))</f>
        <v/>
      </c>
      <c r="D182" s="20" t="str">
        <f aca="false">IF(B182="","",VLOOKUP(B182,Каталог!$A:$C,2,0))</f>
        <v/>
      </c>
      <c r="E182" s="22" t="str">
        <f aca="false">IF(B182="","",VLOOKUP(B182,Каталог!$A:$C,3,0))</f>
        <v/>
      </c>
      <c r="F182" s="22" t="str">
        <f aca="false">IF(B182="","",C182*E182)</f>
        <v/>
      </c>
      <c r="H182" s="26" t="str">
        <f aca="false">IF(I182="","",19)</f>
        <v/>
      </c>
      <c r="I182" s="21" t="str">
        <f aca="false" t="array" ref="I182:I182">IFERROR(INDEX(Заказы!$A$3:$A$29,SMALL(IF(Заказы!$K$3:$K$29&gt;0,ROW(Заказы!$K$3:$K$29)-ROW(K$3)+1),19)),"")</f>
        <v/>
      </c>
      <c r="J182" s="26" t="str">
        <f aca="false">IF(I182="","",INDEX(Заказы!$K$3:$K$29,MATCH(I182,Заказы!$A$3:$A$29,0)))</f>
        <v/>
      </c>
      <c r="K182" s="26" t="str">
        <f aca="false">IF(I182="","",VLOOKUP(I182,Каталог!$A:$C,2,0))</f>
        <v/>
      </c>
      <c r="L182" s="22" t="str">
        <f aca="false">IF(I182="","",VLOOKUP(I182,Каталог!$A:$C,3,0))</f>
        <v/>
      </c>
      <c r="M182" s="22" t="str">
        <f aca="false">IF(I182="","",J182*L182)</f>
        <v/>
      </c>
    </row>
    <row r="183" customFormat="false" ht="15" hidden="false" customHeight="false" outlineLevel="0" collapsed="false">
      <c r="A183" s="20" t="str">
        <f aca="false">IF(B183="","",20)</f>
        <v/>
      </c>
      <c r="B183" s="21" t="str">
        <f aca="false" t="array" ref="B183:B183">IFERROR(INDEX(Заказы!$A$3:$A$29,SMALL(IF(Заказы!$J$3:$J$29&gt;0,ROW(Заказы!$J$3:$J$29)-ROW(J$3)+1),20)),"")</f>
        <v/>
      </c>
      <c r="C183" s="20" t="str">
        <f aca="false">IF(B183="","",INDEX(Заказы!$J$3:$J$29,MATCH(B183,Заказы!$A$3:$A$29,0)))</f>
        <v/>
      </c>
      <c r="D183" s="20" t="str">
        <f aca="false">IF(B183="","",VLOOKUP(B183,Каталог!$A:$C,2,0))</f>
        <v/>
      </c>
      <c r="E183" s="22" t="str">
        <f aca="false">IF(B183="","",VLOOKUP(B183,Каталог!$A:$C,3,0))</f>
        <v/>
      </c>
      <c r="F183" s="22" t="str">
        <f aca="false">IF(B183="","",C183*E183)</f>
        <v/>
      </c>
      <c r="H183" s="26" t="str">
        <f aca="false">IF(I183="","",20)</f>
        <v/>
      </c>
      <c r="I183" s="21" t="str">
        <f aca="false" t="array" ref="I183:I183">IFERROR(INDEX(Заказы!$A$3:$A$29,SMALL(IF(Заказы!$K$3:$K$29&gt;0,ROW(Заказы!$K$3:$K$29)-ROW(K$3)+1),20)),"")</f>
        <v/>
      </c>
      <c r="J183" s="26" t="str">
        <f aca="false">IF(I183="","",INDEX(Заказы!$K$3:$K$29,MATCH(I183,Заказы!$A$3:$A$29,0)))</f>
        <v/>
      </c>
      <c r="K183" s="26" t="str">
        <f aca="false">IF(I183="","",VLOOKUP(I183,Каталог!$A:$C,2,0))</f>
        <v/>
      </c>
      <c r="L183" s="22" t="str">
        <f aca="false">IF(I183="","",VLOOKUP(I183,Каталог!$A:$C,3,0))</f>
        <v/>
      </c>
      <c r="M183" s="22" t="str">
        <f aca="false">IF(I183="","",J183*L183)</f>
        <v/>
      </c>
    </row>
    <row r="184" customFormat="false" ht="15" hidden="false" customHeight="false" outlineLevel="0" collapsed="false">
      <c r="A184" s="20" t="str">
        <f aca="false">IF(B184="","",21)</f>
        <v/>
      </c>
      <c r="B184" s="21" t="str">
        <f aca="false" t="array" ref="B184:B184">IFERROR(INDEX(Заказы!$A$3:$A$29,SMALL(IF(Заказы!$J$3:$J$29&gt;0,ROW(Заказы!$J$3:$J$29)-ROW(J$3)+1),21)),"")</f>
        <v/>
      </c>
      <c r="C184" s="20" t="str">
        <f aca="false">IF(B184="","",INDEX(Заказы!$J$3:$J$29,MATCH(B184,Заказы!$A$3:$A$29,0)))</f>
        <v/>
      </c>
      <c r="D184" s="20" t="str">
        <f aca="false">IF(B184="","",VLOOKUP(B184,Каталог!$A:$C,2,0))</f>
        <v/>
      </c>
      <c r="E184" s="22" t="str">
        <f aca="false">IF(B184="","",VLOOKUP(B184,Каталог!$A:$C,3,0))</f>
        <v/>
      </c>
      <c r="F184" s="22" t="str">
        <f aca="false">IF(B184="","",C184*E184)</f>
        <v/>
      </c>
      <c r="H184" s="26" t="str">
        <f aca="false">IF(I184="","",21)</f>
        <v/>
      </c>
      <c r="I184" s="21" t="str">
        <f aca="false" t="array" ref="I184:I184">IFERROR(INDEX(Заказы!$A$3:$A$29,SMALL(IF(Заказы!$K$3:$K$29&gt;0,ROW(Заказы!$K$3:$K$29)-ROW(K$3)+1),21)),"")</f>
        <v/>
      </c>
      <c r="J184" s="26" t="str">
        <f aca="false">IF(I184="","",INDEX(Заказы!$K$3:$K$29,MATCH(I184,Заказы!$A$3:$A$29,0)))</f>
        <v/>
      </c>
      <c r="K184" s="26" t="str">
        <f aca="false">IF(I184="","",VLOOKUP(I184,Каталог!$A:$C,2,0))</f>
        <v/>
      </c>
      <c r="L184" s="22" t="str">
        <f aca="false">IF(I184="","",VLOOKUP(I184,Каталог!$A:$C,3,0))</f>
        <v/>
      </c>
      <c r="M184" s="22" t="str">
        <f aca="false">IF(I184="","",J184*L184)</f>
        <v/>
      </c>
    </row>
    <row r="185" customFormat="false" ht="15" hidden="false" customHeight="false" outlineLevel="0" collapsed="false">
      <c r="A185" s="20" t="str">
        <f aca="false">IF(B185="","",22)</f>
        <v/>
      </c>
      <c r="B185" s="21" t="str">
        <f aca="false" t="array" ref="B185:B185">IFERROR(INDEX(Заказы!$A$3:$A$29,SMALL(IF(Заказы!$J$3:$J$29&gt;0,ROW(Заказы!$J$3:$J$29)-ROW(J$3)+1),22)),"")</f>
        <v/>
      </c>
      <c r="C185" s="20" t="str">
        <f aca="false">IF(B185="","",INDEX(Заказы!$J$3:$J$29,MATCH(B185,Заказы!$A$3:$A$29,0)))</f>
        <v/>
      </c>
      <c r="D185" s="20" t="str">
        <f aca="false">IF(B185="","",VLOOKUP(B185,Каталог!$A:$C,2,0))</f>
        <v/>
      </c>
      <c r="E185" s="22" t="str">
        <f aca="false">IF(B185="","",VLOOKUP(B185,Каталог!$A:$C,3,0))</f>
        <v/>
      </c>
      <c r="F185" s="22" t="str">
        <f aca="false">IF(B185="","",C185*E185)</f>
        <v/>
      </c>
      <c r="H185" s="26" t="str">
        <f aca="false">IF(I185="","",22)</f>
        <v/>
      </c>
      <c r="I185" s="21" t="str">
        <f aca="false" t="array" ref="I185:I185">IFERROR(INDEX(Заказы!$A$3:$A$29,SMALL(IF(Заказы!$K$3:$K$29&gt;0,ROW(Заказы!$K$3:$K$29)-ROW(K$3)+1),22)),"")</f>
        <v/>
      </c>
      <c r="J185" s="26" t="str">
        <f aca="false">IF(I185="","",INDEX(Заказы!$K$3:$K$29,MATCH(I185,Заказы!$A$3:$A$29,0)))</f>
        <v/>
      </c>
      <c r="K185" s="26" t="str">
        <f aca="false">IF(I185="","",VLOOKUP(I185,Каталог!$A:$C,2,0))</f>
        <v/>
      </c>
      <c r="L185" s="22" t="str">
        <f aca="false">IF(I185="","",VLOOKUP(I185,Каталог!$A:$C,3,0))</f>
        <v/>
      </c>
      <c r="M185" s="22" t="str">
        <f aca="false">IF(I185="","",J185*L185)</f>
        <v/>
      </c>
    </row>
    <row r="186" customFormat="false" ht="15" hidden="false" customHeight="false" outlineLevel="0" collapsed="false">
      <c r="A186" s="20" t="str">
        <f aca="false">IF(B186="","",23)</f>
        <v/>
      </c>
      <c r="B186" s="21" t="str">
        <f aca="false" t="array" ref="B186:B186">IFERROR(INDEX(Заказы!$A$3:$A$29,SMALL(IF(Заказы!$J$3:$J$29&gt;0,ROW(Заказы!$J$3:$J$29)-ROW(J$3)+1),23)),"")</f>
        <v/>
      </c>
      <c r="C186" s="20" t="str">
        <f aca="false">IF(B186="","",INDEX(Заказы!$J$3:$J$29,MATCH(B186,Заказы!$A$3:$A$29,0)))</f>
        <v/>
      </c>
      <c r="D186" s="20" t="str">
        <f aca="false">IF(B186="","",VLOOKUP(B186,Каталог!$A:$C,2,0))</f>
        <v/>
      </c>
      <c r="E186" s="22" t="str">
        <f aca="false">IF(B186="","",VLOOKUP(B186,Каталог!$A:$C,3,0))</f>
        <v/>
      </c>
      <c r="F186" s="22" t="str">
        <f aca="false">IF(B186="","",C186*E186)</f>
        <v/>
      </c>
      <c r="H186" s="26" t="str">
        <f aca="false">IF(I186="","",23)</f>
        <v/>
      </c>
      <c r="I186" s="21" t="str">
        <f aca="false" t="array" ref="I186:I186">IFERROR(INDEX(Заказы!$A$3:$A$29,SMALL(IF(Заказы!$K$3:$K$29&gt;0,ROW(Заказы!$K$3:$K$29)-ROW(K$3)+1),23)),"")</f>
        <v/>
      </c>
      <c r="J186" s="26" t="str">
        <f aca="false">IF(I186="","",INDEX(Заказы!$K$3:$K$29,MATCH(I186,Заказы!$A$3:$A$29,0)))</f>
        <v/>
      </c>
      <c r="K186" s="26" t="str">
        <f aca="false">IF(I186="","",VLOOKUP(I186,Каталог!$A:$C,2,0))</f>
        <v/>
      </c>
      <c r="L186" s="22" t="str">
        <f aca="false">IF(I186="","",VLOOKUP(I186,Каталог!$A:$C,3,0))</f>
        <v/>
      </c>
      <c r="M186" s="22" t="str">
        <f aca="false">IF(I186="","",J186*L186)</f>
        <v/>
      </c>
    </row>
    <row r="187" customFormat="false" ht="15" hidden="false" customHeight="false" outlineLevel="0" collapsed="false">
      <c r="A187" s="20" t="str">
        <f aca="false">IF(B187="","",24)</f>
        <v/>
      </c>
      <c r="B187" s="21" t="str">
        <f aca="false" t="array" ref="B187:B187">IFERROR(INDEX(Заказы!$A$3:$A$29,SMALL(IF(Заказы!$J$3:$J$29&gt;0,ROW(Заказы!$J$3:$J$29)-ROW(J$3)+1),24)),"")</f>
        <v/>
      </c>
      <c r="C187" s="20" t="str">
        <f aca="false">IF(B187="","",INDEX(Заказы!$J$3:$J$29,MATCH(B187,Заказы!$A$3:$A$29,0)))</f>
        <v/>
      </c>
      <c r="D187" s="20" t="str">
        <f aca="false">IF(B187="","",VLOOKUP(B187,Каталог!$A:$C,2,0))</f>
        <v/>
      </c>
      <c r="E187" s="22" t="str">
        <f aca="false">IF(B187="","",VLOOKUP(B187,Каталог!$A:$C,3,0))</f>
        <v/>
      </c>
      <c r="F187" s="22" t="str">
        <f aca="false">IF(B187="","",C187*E187)</f>
        <v/>
      </c>
      <c r="H187" s="26" t="str">
        <f aca="false">IF(I187="","",24)</f>
        <v/>
      </c>
      <c r="I187" s="21" t="str">
        <f aca="false" t="array" ref="I187:I187">IFERROR(INDEX(Заказы!$A$3:$A$29,SMALL(IF(Заказы!$K$3:$K$29&gt;0,ROW(Заказы!$K$3:$K$29)-ROW(K$3)+1),24)),"")</f>
        <v/>
      </c>
      <c r="J187" s="26" t="str">
        <f aca="false">IF(I187="","",INDEX(Заказы!$K$3:$K$29,MATCH(I187,Заказы!$A$3:$A$29,0)))</f>
        <v/>
      </c>
      <c r="K187" s="26" t="str">
        <f aca="false">IF(I187="","",VLOOKUP(I187,Каталог!$A:$C,2,0))</f>
        <v/>
      </c>
      <c r="L187" s="22" t="str">
        <f aca="false">IF(I187="","",VLOOKUP(I187,Каталог!$A:$C,3,0))</f>
        <v/>
      </c>
      <c r="M187" s="22" t="str">
        <f aca="false">IF(I187="","",J187*L187)</f>
        <v/>
      </c>
    </row>
    <row r="188" customFormat="false" ht="15" hidden="false" customHeight="false" outlineLevel="0" collapsed="false">
      <c r="A188" s="20" t="str">
        <f aca="false">IF(B188="","",25)</f>
        <v/>
      </c>
      <c r="B188" s="21" t="str">
        <f aca="false" t="array" ref="B188:B188">IFERROR(INDEX(Заказы!$A$3:$A$29,SMALL(IF(Заказы!$J$3:$J$29&gt;0,ROW(Заказы!$J$3:$J$29)-ROW(J$3)+1),25)),"")</f>
        <v/>
      </c>
      <c r="C188" s="20" t="str">
        <f aca="false">IF(B188="","",INDEX(Заказы!$J$3:$J$29,MATCH(B188,Заказы!$A$3:$A$29,0)))</f>
        <v/>
      </c>
      <c r="D188" s="20" t="str">
        <f aca="false">IF(B188="","",VLOOKUP(B188,Каталог!$A:$C,2,0))</f>
        <v/>
      </c>
      <c r="E188" s="22" t="str">
        <f aca="false">IF(B188="","",VLOOKUP(B188,Каталог!$A:$C,3,0))</f>
        <v/>
      </c>
      <c r="F188" s="22" t="str">
        <f aca="false">IF(B188="","",C188*E188)</f>
        <v/>
      </c>
      <c r="H188" s="26" t="str">
        <f aca="false">IF(I188="","",25)</f>
        <v/>
      </c>
      <c r="I188" s="21" t="str">
        <f aca="false" t="array" ref="I188:I188">IFERROR(INDEX(Заказы!$A$3:$A$29,SMALL(IF(Заказы!$K$3:$K$29&gt;0,ROW(Заказы!$K$3:$K$29)-ROW(K$3)+1),25)),"")</f>
        <v/>
      </c>
      <c r="J188" s="26" t="str">
        <f aca="false">IF(I188="","",INDEX(Заказы!$K$3:$K$29,MATCH(I188,Заказы!$A$3:$A$29,0)))</f>
        <v/>
      </c>
      <c r="K188" s="26" t="str">
        <f aca="false">IF(I188="","",VLOOKUP(I188,Каталог!$A:$C,2,0))</f>
        <v/>
      </c>
      <c r="L188" s="22" t="str">
        <f aca="false">IF(I188="","",VLOOKUP(I188,Каталог!$A:$C,3,0))</f>
        <v/>
      </c>
      <c r="M188" s="22" t="str">
        <f aca="false">IF(I188="","",J188*L188)</f>
        <v/>
      </c>
    </row>
    <row r="189" customFormat="false" ht="15" hidden="false" customHeight="false" outlineLevel="0" collapsed="false">
      <c r="A189" s="20" t="str">
        <f aca="false">IF(B189="","",26)</f>
        <v/>
      </c>
      <c r="B189" s="21" t="str">
        <f aca="false" t="array" ref="B189:B189">IFERROR(INDEX(Заказы!$A$3:$A$29,SMALL(IF(Заказы!$J$3:$J$29&gt;0,ROW(Заказы!$J$3:$J$29)-ROW(J$3)+1),26)),"")</f>
        <v/>
      </c>
      <c r="C189" s="20" t="str">
        <f aca="false">IF(B189="","",INDEX(Заказы!$J$3:$J$29,MATCH(B189,Заказы!$A$3:$A$29,0)))</f>
        <v/>
      </c>
      <c r="D189" s="20" t="str">
        <f aca="false">IF(B189="","",VLOOKUP(B189,Каталог!$A:$C,2,0))</f>
        <v/>
      </c>
      <c r="E189" s="22" t="str">
        <f aca="false">IF(B189="","",VLOOKUP(B189,Каталог!$A:$C,3,0))</f>
        <v/>
      </c>
      <c r="F189" s="22" t="str">
        <f aca="false">IF(B189="","",C189*E189)</f>
        <v/>
      </c>
      <c r="H189" s="26" t="str">
        <f aca="false">IF(I189="","",26)</f>
        <v/>
      </c>
      <c r="I189" s="21" t="str">
        <f aca="false" t="array" ref="I189:I189">IFERROR(INDEX(Заказы!$A$3:$A$29,SMALL(IF(Заказы!$K$3:$K$29&gt;0,ROW(Заказы!$K$3:$K$29)-ROW(K$3)+1),26)),"")</f>
        <v/>
      </c>
      <c r="J189" s="26" t="str">
        <f aca="false">IF(I189="","",INDEX(Заказы!$K$3:$K$29,MATCH(I189,Заказы!$A$3:$A$29,0)))</f>
        <v/>
      </c>
      <c r="K189" s="26" t="str">
        <f aca="false">IF(I189="","",VLOOKUP(I189,Каталог!$A:$C,2,0))</f>
        <v/>
      </c>
      <c r="L189" s="22" t="str">
        <f aca="false">IF(I189="","",VLOOKUP(I189,Каталог!$A:$C,3,0))</f>
        <v/>
      </c>
      <c r="M189" s="22" t="str">
        <f aca="false">IF(I189="","",J189*L189)</f>
        <v/>
      </c>
    </row>
    <row r="190" customFormat="false" ht="15" hidden="false" customHeight="false" outlineLevel="0" collapsed="false">
      <c r="A190" s="20" t="str">
        <f aca="false">IF(B190="","",27)</f>
        <v/>
      </c>
      <c r="B190" s="21" t="str">
        <f aca="false" t="array" ref="B190:B190">IFERROR(INDEX(Заказы!$A$3:$A$29,SMALL(IF(Заказы!$J$3:$J$29&gt;0,ROW(Заказы!$J$3:$J$29)-ROW(J$3)+1),27)),"")</f>
        <v/>
      </c>
      <c r="C190" s="20" t="str">
        <f aca="false">IF(B190="","",INDEX(Заказы!$J$3:$J$29,MATCH(B190,Заказы!$A$3:$A$29,0)))</f>
        <v/>
      </c>
      <c r="D190" s="20" t="str">
        <f aca="false">IF(B190="","",VLOOKUP(B190,Каталог!$A:$C,2,0))</f>
        <v/>
      </c>
      <c r="E190" s="22" t="str">
        <f aca="false">IF(B190="","",VLOOKUP(B190,Каталог!$A:$C,3,0))</f>
        <v/>
      </c>
      <c r="F190" s="22" t="str">
        <f aca="false">IF(B190="","",C190*E190)</f>
        <v/>
      </c>
      <c r="H190" s="26" t="str">
        <f aca="false">IF(I190="","",27)</f>
        <v/>
      </c>
      <c r="I190" s="21" t="str">
        <f aca="false" t="array" ref="I190:I190">IFERROR(INDEX(Заказы!$A$3:$A$29,SMALL(IF(Заказы!$K$3:$K$29&gt;0,ROW(Заказы!$K$3:$K$29)-ROW(K$3)+1),27)),"")</f>
        <v/>
      </c>
      <c r="J190" s="26" t="str">
        <f aca="false">IF(I190="","",INDEX(Заказы!$K$3:$K$29,MATCH(I190,Заказы!$A$3:$A$29,0)))</f>
        <v/>
      </c>
      <c r="K190" s="26" t="str">
        <f aca="false">IF(I190="","",VLOOKUP(I190,Каталог!$A:$C,2,0))</f>
        <v/>
      </c>
      <c r="L190" s="22" t="str">
        <f aca="false">IF(I190="","",VLOOKUP(I190,Каталог!$A:$C,3,0))</f>
        <v/>
      </c>
      <c r="M190" s="22" t="str">
        <f aca="false">IF(I190="","",J190*L190)</f>
        <v/>
      </c>
    </row>
    <row r="191" customFormat="false" ht="15" hidden="false" customHeight="false" outlineLevel="0" collapsed="false">
      <c r="A191" s="23"/>
      <c r="B191" s="23"/>
      <c r="C191" s="23"/>
      <c r="D191" s="23"/>
      <c r="E191" s="23"/>
      <c r="F191" s="23"/>
      <c r="H191" s="23"/>
      <c r="I191" s="23"/>
      <c r="J191" s="23"/>
      <c r="K191" s="23"/>
      <c r="L191" s="23"/>
      <c r="M191" s="23"/>
    </row>
    <row r="192" customFormat="false" ht="15" hidden="false" customHeight="false" outlineLevel="0" collapsed="false">
      <c r="A192" s="24" t="str">
        <f aca="false">IF(COUNTIF(Заказы!$J$3:$J$29,"&gt;0")=0,"","Итого:")</f>
        <v>Итого:</v>
      </c>
      <c r="B192" s="24"/>
      <c r="C192" s="24"/>
      <c r="D192" s="24"/>
      <c r="E192" s="25" t="n">
        <f aca="false">IF(COUNTIF(Заказы!$J$3:$J$29,"&gt;0")=0,"",SUM(F164:F190))</f>
        <v>1380</v>
      </c>
      <c r="F192" s="25"/>
      <c r="H192" s="24" t="str">
        <f aca="false">IF(COUNTIF(Заказы!$K$3:$K$29,"&gt;0")=0,"","Итого:")</f>
        <v/>
      </c>
      <c r="I192" s="24"/>
      <c r="J192" s="24"/>
      <c r="K192" s="24"/>
      <c r="L192" s="25" t="str">
        <f aca="false">IF(COUNTIF(Заказы!$K$3:$K$29,"&gt;0")=0,"",SUM(M164:M190))</f>
        <v/>
      </c>
      <c r="M192" s="25"/>
    </row>
    <row r="194" customFormat="false" ht="15" hidden="false" customHeight="false" outlineLevel="0" collapsed="false">
      <c r="A194" s="18" t="str">
        <f aca="false">IF(COUNTIF(Заказы!$J$3:$J$29,"&gt;0")=0,"","Подпись отправителя: __________________")</f>
        <v>Подпись отправителя: __________________</v>
      </c>
      <c r="B194" s="18"/>
      <c r="C194" s="18"/>
      <c r="D194" s="18"/>
      <c r="E194" s="18"/>
      <c r="F194" s="18"/>
      <c r="H194" s="18" t="str">
        <f aca="false">IF(COUNTIF(Заказы!$K$3:$K$29,"&gt;0")=0,"","Подпись отправителя: __________________")</f>
        <v/>
      </c>
      <c r="I194" s="18"/>
      <c r="J194" s="18"/>
      <c r="K194" s="18"/>
      <c r="L194" s="18"/>
      <c r="M194" s="18"/>
    </row>
    <row r="195" customFormat="false" ht="15" hidden="false" customHeight="false" outlineLevel="0" collapsed="false">
      <c r="A195" s="18" t="str">
        <f aca="false">IF(COUNTIF(Заказы!$J$3:$J$29,"&gt;0")=0,"","Подпись получателя: ___________________")</f>
        <v>Подпись получателя: ___________________</v>
      </c>
      <c r="B195" s="18"/>
      <c r="C195" s="18"/>
      <c r="D195" s="18"/>
      <c r="E195" s="18"/>
      <c r="F195" s="18"/>
      <c r="H195" s="18" t="str">
        <f aca="false">IF(COUNTIF(Заказы!$K$3:$K$29,"&gt;0")=0,"","Подпись получателя: ___________________")</f>
        <v/>
      </c>
      <c r="I195" s="18"/>
      <c r="J195" s="18"/>
      <c r="K195" s="18"/>
      <c r="L195" s="18"/>
      <c r="M195" s="18"/>
    </row>
    <row r="197" customFormat="false" ht="17.35" hidden="false" customHeight="false" outlineLevel="0" collapsed="false">
      <c r="A197" s="17" t="str">
        <f aca="false">IF(COUNTIF(Заказы!$L$3:$L$29,"&gt;0")=0,"","НАКЛАДНАЯ")</f>
        <v/>
      </c>
      <c r="B197" s="17"/>
      <c r="C197" s="17"/>
      <c r="D197" s="17"/>
      <c r="E197" s="17"/>
      <c r="F197" s="17"/>
      <c r="H197" s="17" t="str">
        <f aca="false">IF(COUNTIF(Заказы!$M$3:$M$29,"&gt;0")=0,"","НАКЛАДНАЯ")</f>
        <v/>
      </c>
      <c r="I197" s="17"/>
      <c r="J197" s="17"/>
      <c r="K197" s="17"/>
      <c r="L197" s="17"/>
      <c r="M197" s="17"/>
    </row>
    <row r="198" customFormat="false" ht="15" hidden="false" customHeight="false" outlineLevel="0" collapsed="false">
      <c r="A198" s="18" t="str">
        <f aca="false">IF(COUNTIF(Заказы!$L$3:$L$29,"&gt;0")=0,"","Отправитель: Brown кондитерский цех")</f>
        <v/>
      </c>
      <c r="B198" s="18"/>
      <c r="C198" s="18"/>
      <c r="D198" s="18"/>
      <c r="E198" s="18"/>
      <c r="F198" s="18"/>
      <c r="H198" s="18" t="str">
        <f aca="false">IF(COUNTIF(Заказы!$M$3:$M$29,"&gt;0")=0,"","Отправитель: Brown кондитерский цех")</f>
        <v/>
      </c>
      <c r="I198" s="18"/>
      <c r="J198" s="18"/>
      <c r="K198" s="18"/>
      <c r="L198" s="18"/>
      <c r="M198" s="18"/>
    </row>
    <row r="199" customFormat="false" ht="15" hidden="false" customHeight="false" outlineLevel="0" collapsed="false">
      <c r="A199" s="18" t="str">
        <f aca="false">IF(COUNTIF(Заказы!$L$3:$L$29,"&gt;0")=0,"","Получатель: "&amp;Заказы!L$2)</f>
        <v/>
      </c>
      <c r="B199" s="18"/>
      <c r="C199" s="18"/>
      <c r="D199" s="18"/>
      <c r="E199" s="18"/>
      <c r="F199" s="18"/>
      <c r="H199" s="18" t="str">
        <f aca="false">IF(COUNTIF(Заказы!$M$3:$M$29,"&gt;0")=0,"","Получатель: "&amp;Заказы!M$2)</f>
        <v/>
      </c>
      <c r="I199" s="18"/>
      <c r="J199" s="18"/>
      <c r="K199" s="18"/>
      <c r="L199" s="18"/>
      <c r="M199" s="18"/>
    </row>
    <row r="200" customFormat="false" ht="15" hidden="false" customHeight="false" outlineLevel="0" collapsed="false">
      <c r="A200" s="19" t="str">
        <f aca="false">IF(COUNTIF(Заказы!$L$3:$L$29,"&gt;0")=0,"","Накладная от: "&amp;TEXT(Заказы!$B$1,"dd.mm.yyyy"))</f>
        <v/>
      </c>
      <c r="B200" s="19"/>
      <c r="C200" s="19"/>
      <c r="D200" s="19"/>
      <c r="E200" s="19"/>
      <c r="F200" s="19"/>
      <c r="H200" s="19" t="str">
        <f aca="false">IF(COUNTIF(Заказы!$M$3:$M$29,"&gt;0")=0,"","Накладная от: "&amp;TEXT(Заказы!$B$1,"dd.mm.yyyy"))</f>
        <v/>
      </c>
      <c r="I200" s="19"/>
      <c r="J200" s="19"/>
      <c r="K200" s="19"/>
      <c r="L200" s="19"/>
      <c r="M200" s="19"/>
    </row>
    <row r="202" customFormat="false" ht="15" hidden="false" customHeight="false" outlineLevel="0" collapsed="false">
      <c r="A202" s="4" t="str">
        <f aca="false">IF(COUNTIF(Заказы!$L$3:$L$29,"&gt;0")=0,"","№")</f>
        <v/>
      </c>
      <c r="B202" s="4" t="str">
        <f aca="false">IF(COUNTIF(Заказы!$L$3:$L$29,"&gt;0")=0,"","Наименование")</f>
        <v/>
      </c>
      <c r="C202" s="4" t="str">
        <f aca="false">IF(COUNTIF(Заказы!$L$3:$L$29,"&gt;0")=0,"","Кол.")</f>
        <v/>
      </c>
      <c r="D202" s="4" t="str">
        <f aca="false">IF(COUNTIF(Заказы!$L$3:$L$29,"&gt;0")=0,"","Ед.")</f>
        <v/>
      </c>
      <c r="E202" s="4" t="str">
        <f aca="false">IF(COUNTIF(Заказы!$L$3:$L$29,"&gt;0")=0,"","Цена")</f>
        <v/>
      </c>
      <c r="F202" s="4" t="str">
        <f aca="false">IF(COUNTIF(Заказы!$L$3:$L$29,"&gt;0")=0,"","Сумма")</f>
        <v/>
      </c>
      <c r="H202" s="4" t="str">
        <f aca="false">IF(COUNTIF(Заказы!$M$3:$M$29,"&gt;0")=0,"","№")</f>
        <v/>
      </c>
      <c r="I202" s="4" t="str">
        <f aca="false">IF(COUNTIF(Заказы!$M$3:$M$29,"&gt;0")=0,"","Наименование")</f>
        <v/>
      </c>
      <c r="J202" s="4" t="str">
        <f aca="false">IF(COUNTIF(Заказы!$M$3:$M$29,"&gt;0")=0,"","Кол.")</f>
        <v/>
      </c>
      <c r="K202" s="4" t="str">
        <f aca="false">IF(COUNTIF(Заказы!$M$3:$M$29,"&gt;0")=0,"","Ед.")</f>
        <v/>
      </c>
      <c r="L202" s="4" t="str">
        <f aca="false">IF(COUNTIF(Заказы!$M$3:$M$29,"&gt;0")=0,"","Цена")</f>
        <v/>
      </c>
      <c r="M202" s="4" t="str">
        <f aca="false">IF(COUNTIF(Заказы!$M$3:$M$29,"&gt;0")=0,"","Сумма")</f>
        <v/>
      </c>
    </row>
    <row r="203" customFormat="false" ht="15" hidden="false" customHeight="false" outlineLevel="0" collapsed="false">
      <c r="A203" s="26" t="str">
        <f aca="false">IF(B203="","",1)</f>
        <v/>
      </c>
      <c r="B203" s="21" t="str">
        <f aca="false" t="array" ref="B203:B203">IFERROR(INDEX(Заказы!$A$3:$A$29,SMALL(IF(Заказы!$L$3:$L$29&gt;0,ROW(Заказы!$L$3:$L$29)-ROW(L$3)+1),1)),"")</f>
        <v/>
      </c>
      <c r="C203" s="26" t="str">
        <f aca="false">IF(B203="","",INDEX(Заказы!$L$3:$L$29,MATCH(B203,Заказы!$A$3:$A$29,0)))</f>
        <v/>
      </c>
      <c r="D203" s="26" t="str">
        <f aca="false">IF(B203="","",VLOOKUP(B203,Каталог!$A:$C,2,0))</f>
        <v/>
      </c>
      <c r="E203" s="22" t="str">
        <f aca="false">IF(B203="","",VLOOKUP(B203,Каталог!$A:$C,3,0))</f>
        <v/>
      </c>
      <c r="F203" s="22" t="str">
        <f aca="false">IF(B203="","",C203*E203)</f>
        <v/>
      </c>
      <c r="H203" s="26" t="str">
        <f aca="false">IF(I203="","",1)</f>
        <v/>
      </c>
      <c r="I203" s="21" t="str">
        <f aca="false" t="array" ref="I203:I203">IFERROR(INDEX(Заказы!$A$3:$A$29,SMALL(IF(Заказы!$M$3:$M$29&gt;0,ROW(Заказы!$M$3:$M$29)-ROW(M$3)+1),1)),"")</f>
        <v/>
      </c>
      <c r="J203" s="26" t="str">
        <f aca="false">IF(I203="","",INDEX(Заказы!$M$3:$M$29,MATCH(I203,Заказы!$A$3:$A$29,0)))</f>
        <v/>
      </c>
      <c r="K203" s="26" t="str">
        <f aca="false">IF(I203="","",VLOOKUP(I203,Каталог!$A:$C,2,0))</f>
        <v/>
      </c>
      <c r="L203" s="22" t="str">
        <f aca="false">IF(I203="","",VLOOKUP(I203,Каталог!$A:$C,3,0))</f>
        <v/>
      </c>
      <c r="M203" s="22" t="str">
        <f aca="false">IF(I203="","",J203*L203)</f>
        <v/>
      </c>
    </row>
    <row r="204" customFormat="false" ht="15" hidden="false" customHeight="false" outlineLevel="0" collapsed="false">
      <c r="A204" s="26" t="str">
        <f aca="false">IF(B204="","",2)</f>
        <v/>
      </c>
      <c r="B204" s="21" t="str">
        <f aca="false" t="array" ref="B204:B204">IFERROR(INDEX(Заказы!$A$3:$A$29,SMALL(IF(Заказы!$L$3:$L$29&gt;0,ROW(Заказы!$L$3:$L$29)-ROW(L$3)+1),2)),"")</f>
        <v/>
      </c>
      <c r="C204" s="26" t="str">
        <f aca="false">IF(B204="","",INDEX(Заказы!$L$3:$L$29,MATCH(B204,Заказы!$A$3:$A$29,0)))</f>
        <v/>
      </c>
      <c r="D204" s="26" t="str">
        <f aca="false">IF(B204="","",VLOOKUP(B204,Каталог!$A:$C,2,0))</f>
        <v/>
      </c>
      <c r="E204" s="22" t="str">
        <f aca="false">IF(B204="","",VLOOKUP(B204,Каталог!$A:$C,3,0))</f>
        <v/>
      </c>
      <c r="F204" s="22" t="str">
        <f aca="false">IF(B204="","",C204*E204)</f>
        <v/>
      </c>
      <c r="H204" s="26" t="str">
        <f aca="false">IF(I204="","",2)</f>
        <v/>
      </c>
      <c r="I204" s="21" t="str">
        <f aca="false" t="array" ref="I204:I204">IFERROR(INDEX(Заказы!$A$3:$A$29,SMALL(IF(Заказы!$M$3:$M$29&gt;0,ROW(Заказы!$M$3:$M$29)-ROW(M$3)+1),2)),"")</f>
        <v/>
      </c>
      <c r="J204" s="26" t="str">
        <f aca="false">IF(I204="","",INDEX(Заказы!$M$3:$M$29,MATCH(I204,Заказы!$A$3:$A$29,0)))</f>
        <v/>
      </c>
      <c r="K204" s="26" t="str">
        <f aca="false">IF(I204="","",VLOOKUP(I204,Каталог!$A:$C,2,0))</f>
        <v/>
      </c>
      <c r="L204" s="22" t="str">
        <f aca="false">IF(I204="","",VLOOKUP(I204,Каталог!$A:$C,3,0))</f>
        <v/>
      </c>
      <c r="M204" s="22" t="str">
        <f aca="false">IF(I204="","",J204*L204)</f>
        <v/>
      </c>
    </row>
    <row r="205" customFormat="false" ht="15" hidden="false" customHeight="false" outlineLevel="0" collapsed="false">
      <c r="A205" s="26" t="str">
        <f aca="false">IF(B205="","",3)</f>
        <v/>
      </c>
      <c r="B205" s="21" t="str">
        <f aca="false" t="array" ref="B205:B205">IFERROR(INDEX(Заказы!$A$3:$A$29,SMALL(IF(Заказы!$L$3:$L$29&gt;0,ROW(Заказы!$L$3:$L$29)-ROW(L$3)+1),3)),"")</f>
        <v/>
      </c>
      <c r="C205" s="26" t="str">
        <f aca="false">IF(B205="","",INDEX(Заказы!$L$3:$L$29,MATCH(B205,Заказы!$A$3:$A$29,0)))</f>
        <v/>
      </c>
      <c r="D205" s="26" t="str">
        <f aca="false">IF(B205="","",VLOOKUP(B205,Каталог!$A:$C,2,0))</f>
        <v/>
      </c>
      <c r="E205" s="22" t="str">
        <f aca="false">IF(B205="","",VLOOKUP(B205,Каталог!$A:$C,3,0))</f>
        <v/>
      </c>
      <c r="F205" s="22" t="str">
        <f aca="false">IF(B205="","",C205*E205)</f>
        <v/>
      </c>
      <c r="H205" s="26" t="str">
        <f aca="false">IF(I205="","",3)</f>
        <v/>
      </c>
      <c r="I205" s="21" t="str">
        <f aca="false" t="array" ref="I205:I205">IFERROR(INDEX(Заказы!$A$3:$A$29,SMALL(IF(Заказы!$M$3:$M$29&gt;0,ROW(Заказы!$M$3:$M$29)-ROW(M$3)+1),3)),"")</f>
        <v/>
      </c>
      <c r="J205" s="26" t="str">
        <f aca="false">IF(I205="","",INDEX(Заказы!$M$3:$M$29,MATCH(I205,Заказы!$A$3:$A$29,0)))</f>
        <v/>
      </c>
      <c r="K205" s="26" t="str">
        <f aca="false">IF(I205="","",VLOOKUP(I205,Каталог!$A:$C,2,0))</f>
        <v/>
      </c>
      <c r="L205" s="22" t="str">
        <f aca="false">IF(I205="","",VLOOKUP(I205,Каталог!$A:$C,3,0))</f>
        <v/>
      </c>
      <c r="M205" s="22" t="str">
        <f aca="false">IF(I205="","",J205*L205)</f>
        <v/>
      </c>
    </row>
    <row r="206" customFormat="false" ht="15" hidden="false" customHeight="false" outlineLevel="0" collapsed="false">
      <c r="A206" s="26" t="str">
        <f aca="false">IF(B206="","",4)</f>
        <v/>
      </c>
      <c r="B206" s="21" t="str">
        <f aca="false" t="array" ref="B206:B206">IFERROR(INDEX(Заказы!$A$3:$A$29,SMALL(IF(Заказы!$L$3:$L$29&gt;0,ROW(Заказы!$L$3:$L$29)-ROW(L$3)+1),4)),"")</f>
        <v/>
      </c>
      <c r="C206" s="26" t="str">
        <f aca="false">IF(B206="","",INDEX(Заказы!$L$3:$L$29,MATCH(B206,Заказы!$A$3:$A$29,0)))</f>
        <v/>
      </c>
      <c r="D206" s="26" t="str">
        <f aca="false">IF(B206="","",VLOOKUP(B206,Каталог!$A:$C,2,0))</f>
        <v/>
      </c>
      <c r="E206" s="22" t="str">
        <f aca="false">IF(B206="","",VLOOKUP(B206,Каталог!$A:$C,3,0))</f>
        <v/>
      </c>
      <c r="F206" s="22" t="str">
        <f aca="false">IF(B206="","",C206*E206)</f>
        <v/>
      </c>
      <c r="H206" s="26" t="str">
        <f aca="false">IF(I206="","",4)</f>
        <v/>
      </c>
      <c r="I206" s="21" t="str">
        <f aca="false" t="array" ref="I206:I206">IFERROR(INDEX(Заказы!$A$3:$A$29,SMALL(IF(Заказы!$M$3:$M$29&gt;0,ROW(Заказы!$M$3:$M$29)-ROW(M$3)+1),4)),"")</f>
        <v/>
      </c>
      <c r="J206" s="26" t="str">
        <f aca="false">IF(I206="","",INDEX(Заказы!$M$3:$M$29,MATCH(I206,Заказы!$A$3:$A$29,0)))</f>
        <v/>
      </c>
      <c r="K206" s="26" t="str">
        <f aca="false">IF(I206="","",VLOOKUP(I206,Каталог!$A:$C,2,0))</f>
        <v/>
      </c>
      <c r="L206" s="22" t="str">
        <f aca="false">IF(I206="","",VLOOKUP(I206,Каталог!$A:$C,3,0))</f>
        <v/>
      </c>
      <c r="M206" s="22" t="str">
        <f aca="false">IF(I206="","",J206*L206)</f>
        <v/>
      </c>
    </row>
    <row r="207" customFormat="false" ht="15" hidden="false" customHeight="false" outlineLevel="0" collapsed="false">
      <c r="A207" s="26" t="str">
        <f aca="false">IF(B207="","",5)</f>
        <v/>
      </c>
      <c r="B207" s="21" t="str">
        <f aca="false" t="array" ref="B207:B207">IFERROR(INDEX(Заказы!$A$3:$A$29,SMALL(IF(Заказы!$L$3:$L$29&gt;0,ROW(Заказы!$L$3:$L$29)-ROW(L$3)+1),5)),"")</f>
        <v/>
      </c>
      <c r="C207" s="26" t="str">
        <f aca="false">IF(B207="","",INDEX(Заказы!$L$3:$L$29,MATCH(B207,Заказы!$A$3:$A$29,0)))</f>
        <v/>
      </c>
      <c r="D207" s="26" t="str">
        <f aca="false">IF(B207="","",VLOOKUP(B207,Каталог!$A:$C,2,0))</f>
        <v/>
      </c>
      <c r="E207" s="22" t="str">
        <f aca="false">IF(B207="","",VLOOKUP(B207,Каталог!$A:$C,3,0))</f>
        <v/>
      </c>
      <c r="F207" s="22" t="str">
        <f aca="false">IF(B207="","",C207*E207)</f>
        <v/>
      </c>
      <c r="H207" s="26" t="str">
        <f aca="false">IF(I207="","",5)</f>
        <v/>
      </c>
      <c r="I207" s="21" t="str">
        <f aca="false" t="array" ref="I207:I207">IFERROR(INDEX(Заказы!$A$3:$A$29,SMALL(IF(Заказы!$M$3:$M$29&gt;0,ROW(Заказы!$M$3:$M$29)-ROW(M$3)+1),5)),"")</f>
        <v/>
      </c>
      <c r="J207" s="26" t="str">
        <f aca="false">IF(I207="","",INDEX(Заказы!$M$3:$M$29,MATCH(I207,Заказы!$A$3:$A$29,0)))</f>
        <v/>
      </c>
      <c r="K207" s="26" t="str">
        <f aca="false">IF(I207="","",VLOOKUP(I207,Каталог!$A:$C,2,0))</f>
        <v/>
      </c>
      <c r="L207" s="22" t="str">
        <f aca="false">IF(I207="","",VLOOKUP(I207,Каталог!$A:$C,3,0))</f>
        <v/>
      </c>
      <c r="M207" s="22" t="str">
        <f aca="false">IF(I207="","",J207*L207)</f>
        <v/>
      </c>
    </row>
    <row r="208" customFormat="false" ht="15" hidden="false" customHeight="false" outlineLevel="0" collapsed="false">
      <c r="A208" s="26" t="str">
        <f aca="false">IF(B208="","",6)</f>
        <v/>
      </c>
      <c r="B208" s="21" t="str">
        <f aca="false" t="array" ref="B208:B208">IFERROR(INDEX(Заказы!$A$3:$A$29,SMALL(IF(Заказы!$L$3:$L$29&gt;0,ROW(Заказы!$L$3:$L$29)-ROW(L$3)+1),6)),"")</f>
        <v/>
      </c>
      <c r="C208" s="26" t="str">
        <f aca="false">IF(B208="","",INDEX(Заказы!$L$3:$L$29,MATCH(B208,Заказы!$A$3:$A$29,0)))</f>
        <v/>
      </c>
      <c r="D208" s="26" t="str">
        <f aca="false">IF(B208="","",VLOOKUP(B208,Каталог!$A:$C,2,0))</f>
        <v/>
      </c>
      <c r="E208" s="22" t="str">
        <f aca="false">IF(B208="","",VLOOKUP(B208,Каталог!$A:$C,3,0))</f>
        <v/>
      </c>
      <c r="F208" s="22" t="str">
        <f aca="false">IF(B208="","",C208*E208)</f>
        <v/>
      </c>
      <c r="H208" s="26" t="str">
        <f aca="false">IF(I208="","",6)</f>
        <v/>
      </c>
      <c r="I208" s="21" t="str">
        <f aca="false" t="array" ref="I208:I208">IFERROR(INDEX(Заказы!$A$3:$A$29,SMALL(IF(Заказы!$M$3:$M$29&gt;0,ROW(Заказы!$M$3:$M$29)-ROW(M$3)+1),6)),"")</f>
        <v/>
      </c>
      <c r="J208" s="26" t="str">
        <f aca="false">IF(I208="","",INDEX(Заказы!$M$3:$M$29,MATCH(I208,Заказы!$A$3:$A$29,0)))</f>
        <v/>
      </c>
      <c r="K208" s="26" t="str">
        <f aca="false">IF(I208="","",VLOOKUP(I208,Каталог!$A:$C,2,0))</f>
        <v/>
      </c>
      <c r="L208" s="22" t="str">
        <f aca="false">IF(I208="","",VLOOKUP(I208,Каталог!$A:$C,3,0))</f>
        <v/>
      </c>
      <c r="M208" s="22" t="str">
        <f aca="false">IF(I208="","",J208*L208)</f>
        <v/>
      </c>
    </row>
    <row r="209" customFormat="false" ht="15" hidden="false" customHeight="false" outlineLevel="0" collapsed="false">
      <c r="A209" s="26" t="str">
        <f aca="false">IF(B209="","",7)</f>
        <v/>
      </c>
      <c r="B209" s="21" t="str">
        <f aca="false" t="array" ref="B209:B209">IFERROR(INDEX(Заказы!$A$3:$A$29,SMALL(IF(Заказы!$L$3:$L$29&gt;0,ROW(Заказы!$L$3:$L$29)-ROW(L$3)+1),7)),"")</f>
        <v/>
      </c>
      <c r="C209" s="26" t="str">
        <f aca="false">IF(B209="","",INDEX(Заказы!$L$3:$L$29,MATCH(B209,Заказы!$A$3:$A$29,0)))</f>
        <v/>
      </c>
      <c r="D209" s="26" t="str">
        <f aca="false">IF(B209="","",VLOOKUP(B209,Каталог!$A:$C,2,0))</f>
        <v/>
      </c>
      <c r="E209" s="22" t="str">
        <f aca="false">IF(B209="","",VLOOKUP(B209,Каталог!$A:$C,3,0))</f>
        <v/>
      </c>
      <c r="F209" s="22" t="str">
        <f aca="false">IF(B209="","",C209*E209)</f>
        <v/>
      </c>
      <c r="H209" s="26" t="str">
        <f aca="false">IF(I209="","",7)</f>
        <v/>
      </c>
      <c r="I209" s="21" t="str">
        <f aca="false" t="array" ref="I209:I209">IFERROR(INDEX(Заказы!$A$3:$A$29,SMALL(IF(Заказы!$M$3:$M$29&gt;0,ROW(Заказы!$M$3:$M$29)-ROW(M$3)+1),7)),"")</f>
        <v/>
      </c>
      <c r="J209" s="26" t="str">
        <f aca="false">IF(I209="","",INDEX(Заказы!$M$3:$M$29,MATCH(I209,Заказы!$A$3:$A$29,0)))</f>
        <v/>
      </c>
      <c r="K209" s="26" t="str">
        <f aca="false">IF(I209="","",VLOOKUP(I209,Каталог!$A:$C,2,0))</f>
        <v/>
      </c>
      <c r="L209" s="22" t="str">
        <f aca="false">IF(I209="","",VLOOKUP(I209,Каталог!$A:$C,3,0))</f>
        <v/>
      </c>
      <c r="M209" s="22" t="str">
        <f aca="false">IF(I209="","",J209*L209)</f>
        <v/>
      </c>
    </row>
    <row r="210" customFormat="false" ht="15" hidden="false" customHeight="false" outlineLevel="0" collapsed="false">
      <c r="A210" s="26" t="str">
        <f aca="false">IF(B210="","",8)</f>
        <v/>
      </c>
      <c r="B210" s="21" t="str">
        <f aca="false" t="array" ref="B210:B210">IFERROR(INDEX(Заказы!$A$3:$A$29,SMALL(IF(Заказы!$L$3:$L$29&gt;0,ROW(Заказы!$L$3:$L$29)-ROW(L$3)+1),8)),"")</f>
        <v/>
      </c>
      <c r="C210" s="26" t="str">
        <f aca="false">IF(B210="","",INDEX(Заказы!$L$3:$L$29,MATCH(B210,Заказы!$A$3:$A$29,0)))</f>
        <v/>
      </c>
      <c r="D210" s="26" t="str">
        <f aca="false">IF(B210="","",VLOOKUP(B210,Каталог!$A:$C,2,0))</f>
        <v/>
      </c>
      <c r="E210" s="22" t="str">
        <f aca="false">IF(B210="","",VLOOKUP(B210,Каталог!$A:$C,3,0))</f>
        <v/>
      </c>
      <c r="F210" s="22" t="str">
        <f aca="false">IF(B210="","",C210*E210)</f>
        <v/>
      </c>
      <c r="H210" s="26" t="str">
        <f aca="false">IF(I210="","",8)</f>
        <v/>
      </c>
      <c r="I210" s="21" t="str">
        <f aca="false" t="array" ref="I210:I210">IFERROR(INDEX(Заказы!$A$3:$A$29,SMALL(IF(Заказы!$M$3:$M$29&gt;0,ROW(Заказы!$M$3:$M$29)-ROW(M$3)+1),8)),"")</f>
        <v/>
      </c>
      <c r="J210" s="26" t="str">
        <f aca="false">IF(I210="","",INDEX(Заказы!$M$3:$M$29,MATCH(I210,Заказы!$A$3:$A$29,0)))</f>
        <v/>
      </c>
      <c r="K210" s="26" t="str">
        <f aca="false">IF(I210="","",VLOOKUP(I210,Каталог!$A:$C,2,0))</f>
        <v/>
      </c>
      <c r="L210" s="22" t="str">
        <f aca="false">IF(I210="","",VLOOKUP(I210,Каталог!$A:$C,3,0))</f>
        <v/>
      </c>
      <c r="M210" s="22" t="str">
        <f aca="false">IF(I210="","",J210*L210)</f>
        <v/>
      </c>
    </row>
    <row r="211" customFormat="false" ht="15" hidden="false" customHeight="false" outlineLevel="0" collapsed="false">
      <c r="A211" s="26" t="str">
        <f aca="false">IF(B211="","",9)</f>
        <v/>
      </c>
      <c r="B211" s="21" t="str">
        <f aca="false" t="array" ref="B211:B211">IFERROR(INDEX(Заказы!$A$3:$A$29,SMALL(IF(Заказы!$L$3:$L$29&gt;0,ROW(Заказы!$L$3:$L$29)-ROW(L$3)+1),9)),"")</f>
        <v/>
      </c>
      <c r="C211" s="26" t="str">
        <f aca="false">IF(B211="","",INDEX(Заказы!$L$3:$L$29,MATCH(B211,Заказы!$A$3:$A$29,0)))</f>
        <v/>
      </c>
      <c r="D211" s="26" t="str">
        <f aca="false">IF(B211="","",VLOOKUP(B211,Каталог!$A:$C,2,0))</f>
        <v/>
      </c>
      <c r="E211" s="22" t="str">
        <f aca="false">IF(B211="","",VLOOKUP(B211,Каталог!$A:$C,3,0))</f>
        <v/>
      </c>
      <c r="F211" s="22" t="str">
        <f aca="false">IF(B211="","",C211*E211)</f>
        <v/>
      </c>
      <c r="H211" s="26" t="str">
        <f aca="false">IF(I211="","",9)</f>
        <v/>
      </c>
      <c r="I211" s="21" t="str">
        <f aca="false" t="array" ref="I211:I211">IFERROR(INDEX(Заказы!$A$3:$A$29,SMALL(IF(Заказы!$M$3:$M$29&gt;0,ROW(Заказы!$M$3:$M$29)-ROW(M$3)+1),9)),"")</f>
        <v/>
      </c>
      <c r="J211" s="26" t="str">
        <f aca="false">IF(I211="","",INDEX(Заказы!$M$3:$M$29,MATCH(I211,Заказы!$A$3:$A$29,0)))</f>
        <v/>
      </c>
      <c r="K211" s="26" t="str">
        <f aca="false">IF(I211="","",VLOOKUP(I211,Каталог!$A:$C,2,0))</f>
        <v/>
      </c>
      <c r="L211" s="22" t="str">
        <f aca="false">IF(I211="","",VLOOKUP(I211,Каталог!$A:$C,3,0))</f>
        <v/>
      </c>
      <c r="M211" s="22" t="str">
        <f aca="false">IF(I211="","",J211*L211)</f>
        <v/>
      </c>
    </row>
    <row r="212" customFormat="false" ht="15" hidden="false" customHeight="false" outlineLevel="0" collapsed="false">
      <c r="A212" s="26" t="str">
        <f aca="false">IF(B212="","",10)</f>
        <v/>
      </c>
      <c r="B212" s="21" t="str">
        <f aca="false" t="array" ref="B212:B212">IFERROR(INDEX(Заказы!$A$3:$A$29,SMALL(IF(Заказы!$L$3:$L$29&gt;0,ROW(Заказы!$L$3:$L$29)-ROW(L$3)+1),10)),"")</f>
        <v/>
      </c>
      <c r="C212" s="26" t="str">
        <f aca="false">IF(B212="","",INDEX(Заказы!$L$3:$L$29,MATCH(B212,Заказы!$A$3:$A$29,0)))</f>
        <v/>
      </c>
      <c r="D212" s="26" t="str">
        <f aca="false">IF(B212="","",VLOOKUP(B212,Каталог!$A:$C,2,0))</f>
        <v/>
      </c>
      <c r="E212" s="22" t="str">
        <f aca="false">IF(B212="","",VLOOKUP(B212,Каталог!$A:$C,3,0))</f>
        <v/>
      </c>
      <c r="F212" s="22" t="str">
        <f aca="false">IF(B212="","",C212*E212)</f>
        <v/>
      </c>
      <c r="H212" s="26" t="str">
        <f aca="false">IF(I212="","",10)</f>
        <v/>
      </c>
      <c r="I212" s="21" t="str">
        <f aca="false" t="array" ref="I212:I212">IFERROR(INDEX(Заказы!$A$3:$A$29,SMALL(IF(Заказы!$M$3:$M$29&gt;0,ROW(Заказы!$M$3:$M$29)-ROW(M$3)+1),10)),"")</f>
        <v/>
      </c>
      <c r="J212" s="26" t="str">
        <f aca="false">IF(I212="","",INDEX(Заказы!$M$3:$M$29,MATCH(I212,Заказы!$A$3:$A$29,0)))</f>
        <v/>
      </c>
      <c r="K212" s="26" t="str">
        <f aca="false">IF(I212="","",VLOOKUP(I212,Каталог!$A:$C,2,0))</f>
        <v/>
      </c>
      <c r="L212" s="22" t="str">
        <f aca="false">IF(I212="","",VLOOKUP(I212,Каталог!$A:$C,3,0))</f>
        <v/>
      </c>
      <c r="M212" s="22" t="str">
        <f aca="false">IF(I212="","",J212*L212)</f>
        <v/>
      </c>
    </row>
    <row r="213" customFormat="false" ht="15" hidden="false" customHeight="false" outlineLevel="0" collapsed="false">
      <c r="A213" s="26" t="str">
        <f aca="false">IF(B213="","",11)</f>
        <v/>
      </c>
      <c r="B213" s="21" t="str">
        <f aca="false" t="array" ref="B213:B213">IFERROR(INDEX(Заказы!$A$3:$A$29,SMALL(IF(Заказы!$L$3:$L$29&gt;0,ROW(Заказы!$L$3:$L$29)-ROW(L$3)+1),11)),"")</f>
        <v/>
      </c>
      <c r="C213" s="26" t="str">
        <f aca="false">IF(B213="","",INDEX(Заказы!$L$3:$L$29,MATCH(B213,Заказы!$A$3:$A$29,0)))</f>
        <v/>
      </c>
      <c r="D213" s="26" t="str">
        <f aca="false">IF(B213="","",VLOOKUP(B213,Каталог!$A:$C,2,0))</f>
        <v/>
      </c>
      <c r="E213" s="22" t="str">
        <f aca="false">IF(B213="","",VLOOKUP(B213,Каталог!$A:$C,3,0))</f>
        <v/>
      </c>
      <c r="F213" s="22" t="str">
        <f aca="false">IF(B213="","",C213*E213)</f>
        <v/>
      </c>
      <c r="H213" s="26" t="str">
        <f aca="false">IF(I213="","",11)</f>
        <v/>
      </c>
      <c r="I213" s="21" t="str">
        <f aca="false" t="array" ref="I213:I213">IFERROR(INDEX(Заказы!$A$3:$A$29,SMALL(IF(Заказы!$M$3:$M$29&gt;0,ROW(Заказы!$M$3:$M$29)-ROW(M$3)+1),11)),"")</f>
        <v/>
      </c>
      <c r="J213" s="26" t="str">
        <f aca="false">IF(I213="","",INDEX(Заказы!$M$3:$M$29,MATCH(I213,Заказы!$A$3:$A$29,0)))</f>
        <v/>
      </c>
      <c r="K213" s="26" t="str">
        <f aca="false">IF(I213="","",VLOOKUP(I213,Каталог!$A:$C,2,0))</f>
        <v/>
      </c>
      <c r="L213" s="22" t="str">
        <f aca="false">IF(I213="","",VLOOKUP(I213,Каталог!$A:$C,3,0))</f>
        <v/>
      </c>
      <c r="M213" s="22" t="str">
        <f aca="false">IF(I213="","",J213*L213)</f>
        <v/>
      </c>
    </row>
    <row r="214" customFormat="false" ht="15" hidden="false" customHeight="false" outlineLevel="0" collapsed="false">
      <c r="A214" s="26" t="str">
        <f aca="false">IF(B214="","",12)</f>
        <v/>
      </c>
      <c r="B214" s="21" t="str">
        <f aca="false" t="array" ref="B214:B214">IFERROR(INDEX(Заказы!$A$3:$A$29,SMALL(IF(Заказы!$L$3:$L$29&gt;0,ROW(Заказы!$L$3:$L$29)-ROW(L$3)+1),12)),"")</f>
        <v/>
      </c>
      <c r="C214" s="26" t="str">
        <f aca="false">IF(B214="","",INDEX(Заказы!$L$3:$L$29,MATCH(B214,Заказы!$A$3:$A$29,0)))</f>
        <v/>
      </c>
      <c r="D214" s="26" t="str">
        <f aca="false">IF(B214="","",VLOOKUP(B214,Каталог!$A:$C,2,0))</f>
        <v/>
      </c>
      <c r="E214" s="22" t="str">
        <f aca="false">IF(B214="","",VLOOKUP(B214,Каталог!$A:$C,3,0))</f>
        <v/>
      </c>
      <c r="F214" s="22" t="str">
        <f aca="false">IF(B214="","",C214*E214)</f>
        <v/>
      </c>
      <c r="H214" s="26" t="str">
        <f aca="false">IF(I214="","",12)</f>
        <v/>
      </c>
      <c r="I214" s="21" t="str">
        <f aca="false" t="array" ref="I214:I214">IFERROR(INDEX(Заказы!$A$3:$A$29,SMALL(IF(Заказы!$M$3:$M$29&gt;0,ROW(Заказы!$M$3:$M$29)-ROW(M$3)+1),12)),"")</f>
        <v/>
      </c>
      <c r="J214" s="26" t="str">
        <f aca="false">IF(I214="","",INDEX(Заказы!$M$3:$M$29,MATCH(I214,Заказы!$A$3:$A$29,0)))</f>
        <v/>
      </c>
      <c r="K214" s="26" t="str">
        <f aca="false">IF(I214="","",VLOOKUP(I214,Каталог!$A:$C,2,0))</f>
        <v/>
      </c>
      <c r="L214" s="22" t="str">
        <f aca="false">IF(I214="","",VLOOKUP(I214,Каталог!$A:$C,3,0))</f>
        <v/>
      </c>
      <c r="M214" s="22" t="str">
        <f aca="false">IF(I214="","",J214*L214)</f>
        <v/>
      </c>
    </row>
    <row r="215" customFormat="false" ht="15" hidden="false" customHeight="false" outlineLevel="0" collapsed="false">
      <c r="A215" s="26" t="str">
        <f aca="false">IF(B215="","",13)</f>
        <v/>
      </c>
      <c r="B215" s="21" t="str">
        <f aca="false" t="array" ref="B215:B215">IFERROR(INDEX(Заказы!$A$3:$A$29,SMALL(IF(Заказы!$L$3:$L$29&gt;0,ROW(Заказы!$L$3:$L$29)-ROW(L$3)+1),13)),"")</f>
        <v/>
      </c>
      <c r="C215" s="26" t="str">
        <f aca="false">IF(B215="","",INDEX(Заказы!$L$3:$L$29,MATCH(B215,Заказы!$A$3:$A$29,0)))</f>
        <v/>
      </c>
      <c r="D215" s="26" t="str">
        <f aca="false">IF(B215="","",VLOOKUP(B215,Каталог!$A:$C,2,0))</f>
        <v/>
      </c>
      <c r="E215" s="22" t="str">
        <f aca="false">IF(B215="","",VLOOKUP(B215,Каталог!$A:$C,3,0))</f>
        <v/>
      </c>
      <c r="F215" s="22" t="str">
        <f aca="false">IF(B215="","",C215*E215)</f>
        <v/>
      </c>
      <c r="H215" s="26" t="str">
        <f aca="false">IF(I215="","",13)</f>
        <v/>
      </c>
      <c r="I215" s="21" t="str">
        <f aca="false" t="array" ref="I215:I215">IFERROR(INDEX(Заказы!$A$3:$A$29,SMALL(IF(Заказы!$M$3:$M$29&gt;0,ROW(Заказы!$M$3:$M$29)-ROW(M$3)+1),13)),"")</f>
        <v/>
      </c>
      <c r="J215" s="26" t="str">
        <f aca="false">IF(I215="","",INDEX(Заказы!$M$3:$M$29,MATCH(I215,Заказы!$A$3:$A$29,0)))</f>
        <v/>
      </c>
      <c r="K215" s="26" t="str">
        <f aca="false">IF(I215="","",VLOOKUP(I215,Каталог!$A:$C,2,0))</f>
        <v/>
      </c>
      <c r="L215" s="22" t="str">
        <f aca="false">IF(I215="","",VLOOKUP(I215,Каталог!$A:$C,3,0))</f>
        <v/>
      </c>
      <c r="M215" s="22" t="str">
        <f aca="false">IF(I215="","",J215*L215)</f>
        <v/>
      </c>
    </row>
    <row r="216" customFormat="false" ht="15" hidden="false" customHeight="false" outlineLevel="0" collapsed="false">
      <c r="A216" s="26" t="str">
        <f aca="false">IF(B216="","",14)</f>
        <v/>
      </c>
      <c r="B216" s="21" t="str">
        <f aca="false" t="array" ref="B216:B216">IFERROR(INDEX(Заказы!$A$3:$A$29,SMALL(IF(Заказы!$L$3:$L$29&gt;0,ROW(Заказы!$L$3:$L$29)-ROW(L$3)+1),14)),"")</f>
        <v/>
      </c>
      <c r="C216" s="26" t="str">
        <f aca="false">IF(B216="","",INDEX(Заказы!$L$3:$L$29,MATCH(B216,Заказы!$A$3:$A$29,0)))</f>
        <v/>
      </c>
      <c r="D216" s="26" t="str">
        <f aca="false">IF(B216="","",VLOOKUP(B216,Каталог!$A:$C,2,0))</f>
        <v/>
      </c>
      <c r="E216" s="22" t="str">
        <f aca="false">IF(B216="","",VLOOKUP(B216,Каталог!$A:$C,3,0))</f>
        <v/>
      </c>
      <c r="F216" s="22" t="str">
        <f aca="false">IF(B216="","",C216*E216)</f>
        <v/>
      </c>
      <c r="H216" s="26" t="str">
        <f aca="false">IF(I216="","",14)</f>
        <v/>
      </c>
      <c r="I216" s="21" t="str">
        <f aca="false" t="array" ref="I216:I216">IFERROR(INDEX(Заказы!$A$3:$A$29,SMALL(IF(Заказы!$M$3:$M$29&gt;0,ROW(Заказы!$M$3:$M$29)-ROW(M$3)+1),14)),"")</f>
        <v/>
      </c>
      <c r="J216" s="26" t="str">
        <f aca="false">IF(I216="","",INDEX(Заказы!$M$3:$M$29,MATCH(I216,Заказы!$A$3:$A$29,0)))</f>
        <v/>
      </c>
      <c r="K216" s="26" t="str">
        <f aca="false">IF(I216="","",VLOOKUP(I216,Каталог!$A:$C,2,0))</f>
        <v/>
      </c>
      <c r="L216" s="22" t="str">
        <f aca="false">IF(I216="","",VLOOKUP(I216,Каталог!$A:$C,3,0))</f>
        <v/>
      </c>
      <c r="M216" s="22" t="str">
        <f aca="false">IF(I216="","",J216*L216)</f>
        <v/>
      </c>
    </row>
    <row r="217" customFormat="false" ht="15" hidden="false" customHeight="false" outlineLevel="0" collapsed="false">
      <c r="A217" s="26" t="str">
        <f aca="false">IF(B217="","",15)</f>
        <v/>
      </c>
      <c r="B217" s="21" t="str">
        <f aca="false" t="array" ref="B217:B217">IFERROR(INDEX(Заказы!$A$3:$A$29,SMALL(IF(Заказы!$L$3:$L$29&gt;0,ROW(Заказы!$L$3:$L$29)-ROW(L$3)+1),15)),"")</f>
        <v/>
      </c>
      <c r="C217" s="26" t="str">
        <f aca="false">IF(B217="","",INDEX(Заказы!$L$3:$L$29,MATCH(B217,Заказы!$A$3:$A$29,0)))</f>
        <v/>
      </c>
      <c r="D217" s="26" t="str">
        <f aca="false">IF(B217="","",VLOOKUP(B217,Каталог!$A:$C,2,0))</f>
        <v/>
      </c>
      <c r="E217" s="22" t="str">
        <f aca="false">IF(B217="","",VLOOKUP(B217,Каталог!$A:$C,3,0))</f>
        <v/>
      </c>
      <c r="F217" s="22" t="str">
        <f aca="false">IF(B217="","",C217*E217)</f>
        <v/>
      </c>
      <c r="H217" s="26" t="str">
        <f aca="false">IF(I217="","",15)</f>
        <v/>
      </c>
      <c r="I217" s="21" t="str">
        <f aca="false" t="array" ref="I217:I217">IFERROR(INDEX(Заказы!$A$3:$A$29,SMALL(IF(Заказы!$M$3:$M$29&gt;0,ROW(Заказы!$M$3:$M$29)-ROW(M$3)+1),15)),"")</f>
        <v/>
      </c>
      <c r="J217" s="26" t="str">
        <f aca="false">IF(I217="","",INDEX(Заказы!$M$3:$M$29,MATCH(I217,Заказы!$A$3:$A$29,0)))</f>
        <v/>
      </c>
      <c r="K217" s="26" t="str">
        <f aca="false">IF(I217="","",VLOOKUP(I217,Каталог!$A:$C,2,0))</f>
        <v/>
      </c>
      <c r="L217" s="22" t="str">
        <f aca="false">IF(I217="","",VLOOKUP(I217,Каталог!$A:$C,3,0))</f>
        <v/>
      </c>
      <c r="M217" s="22" t="str">
        <f aca="false">IF(I217="","",J217*L217)</f>
        <v/>
      </c>
    </row>
    <row r="218" customFormat="false" ht="15" hidden="false" customHeight="false" outlineLevel="0" collapsed="false">
      <c r="A218" s="26" t="str">
        <f aca="false">IF(B218="","",16)</f>
        <v/>
      </c>
      <c r="B218" s="21" t="str">
        <f aca="false" t="array" ref="B218:B218">IFERROR(INDEX(Заказы!$A$3:$A$29,SMALL(IF(Заказы!$L$3:$L$29&gt;0,ROW(Заказы!$L$3:$L$29)-ROW(L$3)+1),16)),"")</f>
        <v/>
      </c>
      <c r="C218" s="26" t="str">
        <f aca="false">IF(B218="","",INDEX(Заказы!$L$3:$L$29,MATCH(B218,Заказы!$A$3:$A$29,0)))</f>
        <v/>
      </c>
      <c r="D218" s="26" t="str">
        <f aca="false">IF(B218="","",VLOOKUP(B218,Каталог!$A:$C,2,0))</f>
        <v/>
      </c>
      <c r="E218" s="22" t="str">
        <f aca="false">IF(B218="","",VLOOKUP(B218,Каталог!$A:$C,3,0))</f>
        <v/>
      </c>
      <c r="F218" s="22" t="str">
        <f aca="false">IF(B218="","",C218*E218)</f>
        <v/>
      </c>
      <c r="H218" s="26" t="str">
        <f aca="false">IF(I218="","",16)</f>
        <v/>
      </c>
      <c r="I218" s="21" t="str">
        <f aca="false" t="array" ref="I218:I218">IFERROR(INDEX(Заказы!$A$3:$A$29,SMALL(IF(Заказы!$M$3:$M$29&gt;0,ROW(Заказы!$M$3:$M$29)-ROW(M$3)+1),16)),"")</f>
        <v/>
      </c>
      <c r="J218" s="26" t="str">
        <f aca="false">IF(I218="","",INDEX(Заказы!$M$3:$M$29,MATCH(I218,Заказы!$A$3:$A$29,0)))</f>
        <v/>
      </c>
      <c r="K218" s="26" t="str">
        <f aca="false">IF(I218="","",VLOOKUP(I218,Каталог!$A:$C,2,0))</f>
        <v/>
      </c>
      <c r="L218" s="22" t="str">
        <f aca="false">IF(I218="","",VLOOKUP(I218,Каталог!$A:$C,3,0))</f>
        <v/>
      </c>
      <c r="M218" s="22" t="str">
        <f aca="false">IF(I218="","",J218*L218)</f>
        <v/>
      </c>
    </row>
    <row r="219" customFormat="false" ht="15" hidden="false" customHeight="false" outlineLevel="0" collapsed="false">
      <c r="A219" s="26" t="str">
        <f aca="false">IF(B219="","",17)</f>
        <v/>
      </c>
      <c r="B219" s="21" t="str">
        <f aca="false" t="array" ref="B219:B219">IFERROR(INDEX(Заказы!$A$3:$A$29,SMALL(IF(Заказы!$L$3:$L$29&gt;0,ROW(Заказы!$L$3:$L$29)-ROW(L$3)+1),17)),"")</f>
        <v/>
      </c>
      <c r="C219" s="26" t="str">
        <f aca="false">IF(B219="","",INDEX(Заказы!$L$3:$L$29,MATCH(B219,Заказы!$A$3:$A$29,0)))</f>
        <v/>
      </c>
      <c r="D219" s="26" t="str">
        <f aca="false">IF(B219="","",VLOOKUP(B219,Каталог!$A:$C,2,0))</f>
        <v/>
      </c>
      <c r="E219" s="22" t="str">
        <f aca="false">IF(B219="","",VLOOKUP(B219,Каталог!$A:$C,3,0))</f>
        <v/>
      </c>
      <c r="F219" s="22" t="str">
        <f aca="false">IF(B219="","",C219*E219)</f>
        <v/>
      </c>
      <c r="H219" s="26" t="str">
        <f aca="false">IF(I219="","",17)</f>
        <v/>
      </c>
      <c r="I219" s="21" t="str">
        <f aca="false" t="array" ref="I219:I219">IFERROR(INDEX(Заказы!$A$3:$A$29,SMALL(IF(Заказы!$M$3:$M$29&gt;0,ROW(Заказы!$M$3:$M$29)-ROW(M$3)+1),17)),"")</f>
        <v/>
      </c>
      <c r="J219" s="26" t="str">
        <f aca="false">IF(I219="","",INDEX(Заказы!$M$3:$M$29,MATCH(I219,Заказы!$A$3:$A$29,0)))</f>
        <v/>
      </c>
      <c r="K219" s="26" t="str">
        <f aca="false">IF(I219="","",VLOOKUP(I219,Каталог!$A:$C,2,0))</f>
        <v/>
      </c>
      <c r="L219" s="22" t="str">
        <f aca="false">IF(I219="","",VLOOKUP(I219,Каталог!$A:$C,3,0))</f>
        <v/>
      </c>
      <c r="M219" s="22" t="str">
        <f aca="false">IF(I219="","",J219*L219)</f>
        <v/>
      </c>
    </row>
    <row r="220" customFormat="false" ht="15" hidden="false" customHeight="false" outlineLevel="0" collapsed="false">
      <c r="A220" s="26" t="str">
        <f aca="false">IF(B220="","",18)</f>
        <v/>
      </c>
      <c r="B220" s="21" t="str">
        <f aca="false" t="array" ref="B220:B220">IFERROR(INDEX(Заказы!$A$3:$A$29,SMALL(IF(Заказы!$L$3:$L$29&gt;0,ROW(Заказы!$L$3:$L$29)-ROW(L$3)+1),18)),"")</f>
        <v/>
      </c>
      <c r="C220" s="26" t="str">
        <f aca="false">IF(B220="","",INDEX(Заказы!$L$3:$L$29,MATCH(B220,Заказы!$A$3:$A$29,0)))</f>
        <v/>
      </c>
      <c r="D220" s="26" t="str">
        <f aca="false">IF(B220="","",VLOOKUP(B220,Каталог!$A:$C,2,0))</f>
        <v/>
      </c>
      <c r="E220" s="22" t="str">
        <f aca="false">IF(B220="","",VLOOKUP(B220,Каталог!$A:$C,3,0))</f>
        <v/>
      </c>
      <c r="F220" s="22" t="str">
        <f aca="false">IF(B220="","",C220*E220)</f>
        <v/>
      </c>
      <c r="H220" s="26" t="str">
        <f aca="false">IF(I220="","",18)</f>
        <v/>
      </c>
      <c r="I220" s="21" t="str">
        <f aca="false" t="array" ref="I220:I220">IFERROR(INDEX(Заказы!$A$3:$A$29,SMALL(IF(Заказы!$M$3:$M$29&gt;0,ROW(Заказы!$M$3:$M$29)-ROW(M$3)+1),18)),"")</f>
        <v/>
      </c>
      <c r="J220" s="26" t="str">
        <f aca="false">IF(I220="","",INDEX(Заказы!$M$3:$M$29,MATCH(I220,Заказы!$A$3:$A$29,0)))</f>
        <v/>
      </c>
      <c r="K220" s="26" t="str">
        <f aca="false">IF(I220="","",VLOOKUP(I220,Каталог!$A:$C,2,0))</f>
        <v/>
      </c>
      <c r="L220" s="22" t="str">
        <f aca="false">IF(I220="","",VLOOKUP(I220,Каталог!$A:$C,3,0))</f>
        <v/>
      </c>
      <c r="M220" s="22" t="str">
        <f aca="false">IF(I220="","",J220*L220)</f>
        <v/>
      </c>
    </row>
    <row r="221" customFormat="false" ht="15" hidden="false" customHeight="false" outlineLevel="0" collapsed="false">
      <c r="A221" s="26" t="str">
        <f aca="false">IF(B221="","",19)</f>
        <v/>
      </c>
      <c r="B221" s="21" t="str">
        <f aca="false" t="array" ref="B221:B221">IFERROR(INDEX(Заказы!$A$3:$A$29,SMALL(IF(Заказы!$L$3:$L$29&gt;0,ROW(Заказы!$L$3:$L$29)-ROW(L$3)+1),19)),"")</f>
        <v/>
      </c>
      <c r="C221" s="26" t="str">
        <f aca="false">IF(B221="","",INDEX(Заказы!$L$3:$L$29,MATCH(B221,Заказы!$A$3:$A$29,0)))</f>
        <v/>
      </c>
      <c r="D221" s="26" t="str">
        <f aca="false">IF(B221="","",VLOOKUP(B221,Каталог!$A:$C,2,0))</f>
        <v/>
      </c>
      <c r="E221" s="22" t="str">
        <f aca="false">IF(B221="","",VLOOKUP(B221,Каталог!$A:$C,3,0))</f>
        <v/>
      </c>
      <c r="F221" s="22" t="str">
        <f aca="false">IF(B221="","",C221*E221)</f>
        <v/>
      </c>
      <c r="H221" s="26" t="str">
        <f aca="false">IF(I221="","",19)</f>
        <v/>
      </c>
      <c r="I221" s="21" t="str">
        <f aca="false" t="array" ref="I221:I221">IFERROR(INDEX(Заказы!$A$3:$A$29,SMALL(IF(Заказы!$M$3:$M$29&gt;0,ROW(Заказы!$M$3:$M$29)-ROW(M$3)+1),19)),"")</f>
        <v/>
      </c>
      <c r="J221" s="26" t="str">
        <f aca="false">IF(I221="","",INDEX(Заказы!$M$3:$M$29,MATCH(I221,Заказы!$A$3:$A$29,0)))</f>
        <v/>
      </c>
      <c r="K221" s="26" t="str">
        <f aca="false">IF(I221="","",VLOOKUP(I221,Каталог!$A:$C,2,0))</f>
        <v/>
      </c>
      <c r="L221" s="22" t="str">
        <f aca="false">IF(I221="","",VLOOKUP(I221,Каталог!$A:$C,3,0))</f>
        <v/>
      </c>
      <c r="M221" s="22" t="str">
        <f aca="false">IF(I221="","",J221*L221)</f>
        <v/>
      </c>
    </row>
    <row r="222" customFormat="false" ht="15" hidden="false" customHeight="false" outlineLevel="0" collapsed="false">
      <c r="A222" s="26" t="str">
        <f aca="false">IF(B222="","",20)</f>
        <v/>
      </c>
      <c r="B222" s="21" t="str">
        <f aca="false" t="array" ref="B222:B222">IFERROR(INDEX(Заказы!$A$3:$A$29,SMALL(IF(Заказы!$L$3:$L$29&gt;0,ROW(Заказы!$L$3:$L$29)-ROW(L$3)+1),20)),"")</f>
        <v/>
      </c>
      <c r="C222" s="26" t="str">
        <f aca="false">IF(B222="","",INDEX(Заказы!$L$3:$L$29,MATCH(B222,Заказы!$A$3:$A$29,0)))</f>
        <v/>
      </c>
      <c r="D222" s="26" t="str">
        <f aca="false">IF(B222="","",VLOOKUP(B222,Каталог!$A:$C,2,0))</f>
        <v/>
      </c>
      <c r="E222" s="22" t="str">
        <f aca="false">IF(B222="","",VLOOKUP(B222,Каталог!$A:$C,3,0))</f>
        <v/>
      </c>
      <c r="F222" s="22" t="str">
        <f aca="false">IF(B222="","",C222*E222)</f>
        <v/>
      </c>
      <c r="H222" s="26" t="str">
        <f aca="false">IF(I222="","",20)</f>
        <v/>
      </c>
      <c r="I222" s="21" t="str">
        <f aca="false" t="array" ref="I222:I222">IFERROR(INDEX(Заказы!$A$3:$A$29,SMALL(IF(Заказы!$M$3:$M$29&gt;0,ROW(Заказы!$M$3:$M$29)-ROW(M$3)+1),20)),"")</f>
        <v/>
      </c>
      <c r="J222" s="26" t="str">
        <f aca="false">IF(I222="","",INDEX(Заказы!$M$3:$M$29,MATCH(I222,Заказы!$A$3:$A$29,0)))</f>
        <v/>
      </c>
      <c r="K222" s="26" t="str">
        <f aca="false">IF(I222="","",VLOOKUP(I222,Каталог!$A:$C,2,0))</f>
        <v/>
      </c>
      <c r="L222" s="22" t="str">
        <f aca="false">IF(I222="","",VLOOKUP(I222,Каталог!$A:$C,3,0))</f>
        <v/>
      </c>
      <c r="M222" s="22" t="str">
        <f aca="false">IF(I222="","",J222*L222)</f>
        <v/>
      </c>
    </row>
    <row r="223" customFormat="false" ht="15" hidden="false" customHeight="false" outlineLevel="0" collapsed="false">
      <c r="A223" s="26" t="str">
        <f aca="false">IF(B223="","",21)</f>
        <v/>
      </c>
      <c r="B223" s="21" t="str">
        <f aca="false" t="array" ref="B223:B223">IFERROR(INDEX(Заказы!$A$3:$A$29,SMALL(IF(Заказы!$L$3:$L$29&gt;0,ROW(Заказы!$L$3:$L$29)-ROW(L$3)+1),21)),"")</f>
        <v/>
      </c>
      <c r="C223" s="26" t="str">
        <f aca="false">IF(B223="","",INDEX(Заказы!$L$3:$L$29,MATCH(B223,Заказы!$A$3:$A$29,0)))</f>
        <v/>
      </c>
      <c r="D223" s="26" t="str">
        <f aca="false">IF(B223="","",VLOOKUP(B223,Каталог!$A:$C,2,0))</f>
        <v/>
      </c>
      <c r="E223" s="22" t="str">
        <f aca="false">IF(B223="","",VLOOKUP(B223,Каталог!$A:$C,3,0))</f>
        <v/>
      </c>
      <c r="F223" s="22" t="str">
        <f aca="false">IF(B223="","",C223*E223)</f>
        <v/>
      </c>
      <c r="H223" s="26" t="str">
        <f aca="false">IF(I223="","",21)</f>
        <v/>
      </c>
      <c r="I223" s="21" t="str">
        <f aca="false" t="array" ref="I223:I223">IFERROR(INDEX(Заказы!$A$3:$A$29,SMALL(IF(Заказы!$M$3:$M$29&gt;0,ROW(Заказы!$M$3:$M$29)-ROW(M$3)+1),21)),"")</f>
        <v/>
      </c>
      <c r="J223" s="26" t="str">
        <f aca="false">IF(I223="","",INDEX(Заказы!$M$3:$M$29,MATCH(I223,Заказы!$A$3:$A$29,0)))</f>
        <v/>
      </c>
      <c r="K223" s="26" t="str">
        <f aca="false">IF(I223="","",VLOOKUP(I223,Каталог!$A:$C,2,0))</f>
        <v/>
      </c>
      <c r="L223" s="22" t="str">
        <f aca="false">IF(I223="","",VLOOKUP(I223,Каталог!$A:$C,3,0))</f>
        <v/>
      </c>
      <c r="M223" s="22" t="str">
        <f aca="false">IF(I223="","",J223*L223)</f>
        <v/>
      </c>
    </row>
    <row r="224" customFormat="false" ht="15" hidden="false" customHeight="false" outlineLevel="0" collapsed="false">
      <c r="A224" s="26" t="str">
        <f aca="false">IF(B224="","",22)</f>
        <v/>
      </c>
      <c r="B224" s="21" t="str">
        <f aca="false" t="array" ref="B224:B224">IFERROR(INDEX(Заказы!$A$3:$A$29,SMALL(IF(Заказы!$L$3:$L$29&gt;0,ROW(Заказы!$L$3:$L$29)-ROW(L$3)+1),22)),"")</f>
        <v/>
      </c>
      <c r="C224" s="26" t="str">
        <f aca="false">IF(B224="","",INDEX(Заказы!$L$3:$L$29,MATCH(B224,Заказы!$A$3:$A$29,0)))</f>
        <v/>
      </c>
      <c r="D224" s="26" t="str">
        <f aca="false">IF(B224="","",VLOOKUP(B224,Каталог!$A:$C,2,0))</f>
        <v/>
      </c>
      <c r="E224" s="22" t="str">
        <f aca="false">IF(B224="","",VLOOKUP(B224,Каталог!$A:$C,3,0))</f>
        <v/>
      </c>
      <c r="F224" s="22" t="str">
        <f aca="false">IF(B224="","",C224*E224)</f>
        <v/>
      </c>
      <c r="H224" s="26" t="str">
        <f aca="false">IF(I224="","",22)</f>
        <v/>
      </c>
      <c r="I224" s="21" t="str">
        <f aca="false" t="array" ref="I224:I224">IFERROR(INDEX(Заказы!$A$3:$A$29,SMALL(IF(Заказы!$M$3:$M$29&gt;0,ROW(Заказы!$M$3:$M$29)-ROW(M$3)+1),22)),"")</f>
        <v/>
      </c>
      <c r="J224" s="26" t="str">
        <f aca="false">IF(I224="","",INDEX(Заказы!$M$3:$M$29,MATCH(I224,Заказы!$A$3:$A$29,0)))</f>
        <v/>
      </c>
      <c r="K224" s="26" t="str">
        <f aca="false">IF(I224="","",VLOOKUP(I224,Каталог!$A:$C,2,0))</f>
        <v/>
      </c>
      <c r="L224" s="22" t="str">
        <f aca="false">IF(I224="","",VLOOKUP(I224,Каталог!$A:$C,3,0))</f>
        <v/>
      </c>
      <c r="M224" s="22" t="str">
        <f aca="false">IF(I224="","",J224*L224)</f>
        <v/>
      </c>
    </row>
    <row r="225" customFormat="false" ht="15" hidden="false" customHeight="false" outlineLevel="0" collapsed="false">
      <c r="A225" s="26" t="str">
        <f aca="false">IF(B225="","",23)</f>
        <v/>
      </c>
      <c r="B225" s="21" t="str">
        <f aca="false" t="array" ref="B225:B225">IFERROR(INDEX(Заказы!$A$3:$A$29,SMALL(IF(Заказы!$L$3:$L$29&gt;0,ROW(Заказы!$L$3:$L$29)-ROW(L$3)+1),23)),"")</f>
        <v/>
      </c>
      <c r="C225" s="26" t="str">
        <f aca="false">IF(B225="","",INDEX(Заказы!$L$3:$L$29,MATCH(B225,Заказы!$A$3:$A$29,0)))</f>
        <v/>
      </c>
      <c r="D225" s="26" t="str">
        <f aca="false">IF(B225="","",VLOOKUP(B225,Каталог!$A:$C,2,0))</f>
        <v/>
      </c>
      <c r="E225" s="22" t="str">
        <f aca="false">IF(B225="","",VLOOKUP(B225,Каталог!$A:$C,3,0))</f>
        <v/>
      </c>
      <c r="F225" s="22" t="str">
        <f aca="false">IF(B225="","",C225*E225)</f>
        <v/>
      </c>
      <c r="H225" s="26" t="str">
        <f aca="false">IF(I225="","",23)</f>
        <v/>
      </c>
      <c r="I225" s="21" t="str">
        <f aca="false" t="array" ref="I225:I225">IFERROR(INDEX(Заказы!$A$3:$A$29,SMALL(IF(Заказы!$M$3:$M$29&gt;0,ROW(Заказы!$M$3:$M$29)-ROW(M$3)+1),23)),"")</f>
        <v/>
      </c>
      <c r="J225" s="26" t="str">
        <f aca="false">IF(I225="","",INDEX(Заказы!$M$3:$M$29,MATCH(I225,Заказы!$A$3:$A$29,0)))</f>
        <v/>
      </c>
      <c r="K225" s="26" t="str">
        <f aca="false">IF(I225="","",VLOOKUP(I225,Каталог!$A:$C,2,0))</f>
        <v/>
      </c>
      <c r="L225" s="22" t="str">
        <f aca="false">IF(I225="","",VLOOKUP(I225,Каталог!$A:$C,3,0))</f>
        <v/>
      </c>
      <c r="M225" s="22" t="str">
        <f aca="false">IF(I225="","",J225*L225)</f>
        <v/>
      </c>
    </row>
    <row r="226" customFormat="false" ht="15" hidden="false" customHeight="false" outlineLevel="0" collapsed="false">
      <c r="A226" s="26" t="str">
        <f aca="false">IF(B226="","",24)</f>
        <v/>
      </c>
      <c r="B226" s="21" t="str">
        <f aca="false" t="array" ref="B226:B226">IFERROR(INDEX(Заказы!$A$3:$A$29,SMALL(IF(Заказы!$L$3:$L$29&gt;0,ROW(Заказы!$L$3:$L$29)-ROW(L$3)+1),24)),"")</f>
        <v/>
      </c>
      <c r="C226" s="26" t="str">
        <f aca="false">IF(B226="","",INDEX(Заказы!$L$3:$L$29,MATCH(B226,Заказы!$A$3:$A$29,0)))</f>
        <v/>
      </c>
      <c r="D226" s="26" t="str">
        <f aca="false">IF(B226="","",VLOOKUP(B226,Каталог!$A:$C,2,0))</f>
        <v/>
      </c>
      <c r="E226" s="22" t="str">
        <f aca="false">IF(B226="","",VLOOKUP(B226,Каталог!$A:$C,3,0))</f>
        <v/>
      </c>
      <c r="F226" s="22" t="str">
        <f aca="false">IF(B226="","",C226*E226)</f>
        <v/>
      </c>
      <c r="H226" s="26" t="str">
        <f aca="false">IF(I226="","",24)</f>
        <v/>
      </c>
      <c r="I226" s="21" t="str">
        <f aca="false" t="array" ref="I226:I226">IFERROR(INDEX(Заказы!$A$3:$A$29,SMALL(IF(Заказы!$M$3:$M$29&gt;0,ROW(Заказы!$M$3:$M$29)-ROW(M$3)+1),24)),"")</f>
        <v/>
      </c>
      <c r="J226" s="26" t="str">
        <f aca="false">IF(I226="","",INDEX(Заказы!$M$3:$M$29,MATCH(I226,Заказы!$A$3:$A$29,0)))</f>
        <v/>
      </c>
      <c r="K226" s="26" t="str">
        <f aca="false">IF(I226="","",VLOOKUP(I226,Каталог!$A:$C,2,0))</f>
        <v/>
      </c>
      <c r="L226" s="22" t="str">
        <f aca="false">IF(I226="","",VLOOKUP(I226,Каталог!$A:$C,3,0))</f>
        <v/>
      </c>
      <c r="M226" s="22" t="str">
        <f aca="false">IF(I226="","",J226*L226)</f>
        <v/>
      </c>
    </row>
    <row r="227" customFormat="false" ht="15" hidden="false" customHeight="false" outlineLevel="0" collapsed="false">
      <c r="A227" s="26" t="str">
        <f aca="false">IF(B227="","",25)</f>
        <v/>
      </c>
      <c r="B227" s="21" t="str">
        <f aca="false" t="array" ref="B227:B227">IFERROR(INDEX(Заказы!$A$3:$A$29,SMALL(IF(Заказы!$L$3:$L$29&gt;0,ROW(Заказы!$L$3:$L$29)-ROW(L$3)+1),25)),"")</f>
        <v/>
      </c>
      <c r="C227" s="26" t="str">
        <f aca="false">IF(B227="","",INDEX(Заказы!$L$3:$L$29,MATCH(B227,Заказы!$A$3:$A$29,0)))</f>
        <v/>
      </c>
      <c r="D227" s="26" t="str">
        <f aca="false">IF(B227="","",VLOOKUP(B227,Каталог!$A:$C,2,0))</f>
        <v/>
      </c>
      <c r="E227" s="22" t="str">
        <f aca="false">IF(B227="","",VLOOKUP(B227,Каталог!$A:$C,3,0))</f>
        <v/>
      </c>
      <c r="F227" s="22" t="str">
        <f aca="false">IF(B227="","",C227*E227)</f>
        <v/>
      </c>
      <c r="H227" s="26" t="str">
        <f aca="false">IF(I227="","",25)</f>
        <v/>
      </c>
      <c r="I227" s="21" t="str">
        <f aca="false" t="array" ref="I227:I227">IFERROR(INDEX(Заказы!$A$3:$A$29,SMALL(IF(Заказы!$M$3:$M$29&gt;0,ROW(Заказы!$M$3:$M$29)-ROW(M$3)+1),25)),"")</f>
        <v/>
      </c>
      <c r="J227" s="26" t="str">
        <f aca="false">IF(I227="","",INDEX(Заказы!$M$3:$M$29,MATCH(I227,Заказы!$A$3:$A$29,0)))</f>
        <v/>
      </c>
      <c r="K227" s="26" t="str">
        <f aca="false">IF(I227="","",VLOOKUP(I227,Каталог!$A:$C,2,0))</f>
        <v/>
      </c>
      <c r="L227" s="22" t="str">
        <f aca="false">IF(I227="","",VLOOKUP(I227,Каталог!$A:$C,3,0))</f>
        <v/>
      </c>
      <c r="M227" s="22" t="str">
        <f aca="false">IF(I227="","",J227*L227)</f>
        <v/>
      </c>
    </row>
    <row r="228" customFormat="false" ht="15" hidden="false" customHeight="false" outlineLevel="0" collapsed="false">
      <c r="A228" s="26" t="str">
        <f aca="false">IF(B228="","",26)</f>
        <v/>
      </c>
      <c r="B228" s="21" t="str">
        <f aca="false" t="array" ref="B228:B228">IFERROR(INDEX(Заказы!$A$3:$A$29,SMALL(IF(Заказы!$L$3:$L$29&gt;0,ROW(Заказы!$L$3:$L$29)-ROW(L$3)+1),26)),"")</f>
        <v/>
      </c>
      <c r="C228" s="26" t="str">
        <f aca="false">IF(B228="","",INDEX(Заказы!$L$3:$L$29,MATCH(B228,Заказы!$A$3:$A$29,0)))</f>
        <v/>
      </c>
      <c r="D228" s="26" t="str">
        <f aca="false">IF(B228="","",VLOOKUP(B228,Каталог!$A:$C,2,0))</f>
        <v/>
      </c>
      <c r="E228" s="22" t="str">
        <f aca="false">IF(B228="","",VLOOKUP(B228,Каталог!$A:$C,3,0))</f>
        <v/>
      </c>
      <c r="F228" s="22" t="str">
        <f aca="false">IF(B228="","",C228*E228)</f>
        <v/>
      </c>
      <c r="H228" s="26" t="str">
        <f aca="false">IF(I228="","",26)</f>
        <v/>
      </c>
      <c r="I228" s="21" t="str">
        <f aca="false" t="array" ref="I228:I228">IFERROR(INDEX(Заказы!$A$3:$A$29,SMALL(IF(Заказы!$M$3:$M$29&gt;0,ROW(Заказы!$M$3:$M$29)-ROW(M$3)+1),26)),"")</f>
        <v/>
      </c>
      <c r="J228" s="26" t="str">
        <f aca="false">IF(I228="","",INDEX(Заказы!$M$3:$M$29,MATCH(I228,Заказы!$A$3:$A$29,0)))</f>
        <v/>
      </c>
      <c r="K228" s="26" t="str">
        <f aca="false">IF(I228="","",VLOOKUP(I228,Каталог!$A:$C,2,0))</f>
        <v/>
      </c>
      <c r="L228" s="22" t="str">
        <f aca="false">IF(I228="","",VLOOKUP(I228,Каталог!$A:$C,3,0))</f>
        <v/>
      </c>
      <c r="M228" s="22" t="str">
        <f aca="false">IF(I228="","",J228*L228)</f>
        <v/>
      </c>
    </row>
    <row r="229" customFormat="false" ht="15" hidden="false" customHeight="false" outlineLevel="0" collapsed="false">
      <c r="A229" s="26" t="str">
        <f aca="false">IF(B229="","",27)</f>
        <v/>
      </c>
      <c r="B229" s="21" t="str">
        <f aca="false" t="array" ref="B229:B229">IFERROR(INDEX(Заказы!$A$3:$A$29,SMALL(IF(Заказы!$L$3:$L$29&gt;0,ROW(Заказы!$L$3:$L$29)-ROW(L$3)+1),27)),"")</f>
        <v/>
      </c>
      <c r="C229" s="26" t="str">
        <f aca="false">IF(B229="","",INDEX(Заказы!$L$3:$L$29,MATCH(B229,Заказы!$A$3:$A$29,0)))</f>
        <v/>
      </c>
      <c r="D229" s="26" t="str">
        <f aca="false">IF(B229="","",VLOOKUP(B229,Каталог!$A:$C,2,0))</f>
        <v/>
      </c>
      <c r="E229" s="22" t="str">
        <f aca="false">IF(B229="","",VLOOKUP(B229,Каталог!$A:$C,3,0))</f>
        <v/>
      </c>
      <c r="F229" s="22" t="str">
        <f aca="false">IF(B229="","",C229*E229)</f>
        <v/>
      </c>
      <c r="H229" s="26" t="str">
        <f aca="false">IF(I229="","",27)</f>
        <v/>
      </c>
      <c r="I229" s="21" t="str">
        <f aca="false" t="array" ref="I229:I229">IFERROR(INDEX(Заказы!$A$3:$A$29,SMALL(IF(Заказы!$M$3:$M$29&gt;0,ROW(Заказы!$M$3:$M$29)-ROW(M$3)+1),27)),"")</f>
        <v/>
      </c>
      <c r="J229" s="26" t="str">
        <f aca="false">IF(I229="","",INDEX(Заказы!$M$3:$M$29,MATCH(I229,Заказы!$A$3:$A$29,0)))</f>
        <v/>
      </c>
      <c r="K229" s="26" t="str">
        <f aca="false">IF(I229="","",VLOOKUP(I229,Каталог!$A:$C,2,0))</f>
        <v/>
      </c>
      <c r="L229" s="22" t="str">
        <f aca="false">IF(I229="","",VLOOKUP(I229,Каталог!$A:$C,3,0))</f>
        <v/>
      </c>
      <c r="M229" s="22" t="str">
        <f aca="false">IF(I229="","",J229*L229)</f>
        <v/>
      </c>
    </row>
    <row r="230" customFormat="false" ht="15" hidden="false" customHeight="false" outlineLevel="0" collapsed="false">
      <c r="A230" s="23"/>
      <c r="B230" s="23"/>
      <c r="C230" s="23"/>
      <c r="D230" s="23"/>
      <c r="E230" s="23"/>
      <c r="F230" s="23"/>
      <c r="H230" s="23"/>
      <c r="I230" s="23"/>
      <c r="J230" s="23"/>
      <c r="K230" s="23"/>
      <c r="L230" s="23"/>
      <c r="M230" s="23"/>
    </row>
    <row r="231" customFormat="false" ht="15" hidden="false" customHeight="false" outlineLevel="0" collapsed="false">
      <c r="A231" s="24" t="str">
        <f aca="false">IF(COUNTIF(Заказы!$L$3:$L$29,"&gt;0")=0,"","Итого:")</f>
        <v/>
      </c>
      <c r="B231" s="24"/>
      <c r="C231" s="24"/>
      <c r="D231" s="24"/>
      <c r="E231" s="25" t="str">
        <f aca="false">IF(COUNTIF(Заказы!$L$3:$L$29,"&gt;0")=0,"",SUM(F203:F229))</f>
        <v/>
      </c>
      <c r="F231" s="25"/>
      <c r="H231" s="24" t="str">
        <f aca="false">IF(COUNTIF(Заказы!$M$3:$M$29,"&gt;0")=0,"","Итого:")</f>
        <v/>
      </c>
      <c r="I231" s="24"/>
      <c r="J231" s="24"/>
      <c r="K231" s="24"/>
      <c r="L231" s="25" t="str">
        <f aca="false">IF(COUNTIF(Заказы!$M$3:$M$29,"&gt;0")=0,"",SUM(M203:M229))</f>
        <v/>
      </c>
      <c r="M231" s="25"/>
    </row>
    <row r="233" customFormat="false" ht="15" hidden="false" customHeight="false" outlineLevel="0" collapsed="false">
      <c r="A233" s="18" t="str">
        <f aca="false">IF(COUNTIF(Заказы!$L$3:$L$29,"&gt;0")=0,"","Подпись отправителя: __________________")</f>
        <v/>
      </c>
      <c r="B233" s="18"/>
      <c r="C233" s="18"/>
      <c r="D233" s="18"/>
      <c r="E233" s="18"/>
      <c r="F233" s="18"/>
      <c r="H233" s="18" t="str">
        <f aca="false">IF(COUNTIF(Заказы!$M$3:$M$29,"&gt;0")=0,"","Подпись отправителя: __________________")</f>
        <v/>
      </c>
      <c r="I233" s="18"/>
      <c r="J233" s="18"/>
      <c r="K233" s="18"/>
      <c r="L233" s="18"/>
      <c r="M233" s="18"/>
    </row>
    <row r="234" customFormat="false" ht="15" hidden="false" customHeight="false" outlineLevel="0" collapsed="false">
      <c r="A234" s="18" t="str">
        <f aca="false">IF(COUNTIF(Заказы!$L$3:$L$29,"&gt;0")=0,"","Подпись получателя: ___________________")</f>
        <v/>
      </c>
      <c r="B234" s="18"/>
      <c r="C234" s="18"/>
      <c r="D234" s="18"/>
      <c r="E234" s="18"/>
      <c r="F234" s="18"/>
      <c r="H234" s="18" t="str">
        <f aca="false">IF(COUNTIF(Заказы!$M$3:$M$29,"&gt;0")=0,"","Подпись получателя: ___________________")</f>
        <v/>
      </c>
      <c r="I234" s="18"/>
      <c r="J234" s="18"/>
      <c r="K234" s="18"/>
      <c r="L234" s="18"/>
      <c r="M234" s="18"/>
    </row>
    <row r="236" customFormat="false" ht="17.35" hidden="false" customHeight="false" outlineLevel="0" collapsed="false">
      <c r="A236" s="17" t="str">
        <f aca="false">IF(COUNTIF(Заказы!$N$3:$N$29,"&gt;0")=0,"","НАКЛАДНАЯ")</f>
        <v/>
      </c>
      <c r="B236" s="17"/>
      <c r="C236" s="17"/>
      <c r="D236" s="17"/>
      <c r="E236" s="17"/>
      <c r="F236" s="17"/>
      <c r="H236" s="17" t="str">
        <f aca="false">IF(COUNTIF(Заказы!$O$3:$O$29,"&gt;0")=0,"","НАКЛАДНАЯ")</f>
        <v/>
      </c>
      <c r="I236" s="17"/>
      <c r="J236" s="17"/>
      <c r="K236" s="17"/>
      <c r="L236" s="17"/>
      <c r="M236" s="17"/>
    </row>
    <row r="237" customFormat="false" ht="15" hidden="false" customHeight="false" outlineLevel="0" collapsed="false">
      <c r="A237" s="18" t="str">
        <f aca="false">IF(COUNTIF(Заказы!$N$3:$N$29,"&gt;0")=0,"","Отправитель: Brown кондитерский цех")</f>
        <v/>
      </c>
      <c r="B237" s="18"/>
      <c r="C237" s="18"/>
      <c r="D237" s="18"/>
      <c r="E237" s="18"/>
      <c r="F237" s="18"/>
      <c r="H237" s="18" t="str">
        <f aca="false">IF(COUNTIF(Заказы!$O$3:$O$29,"&gt;0")=0,"","Отправитель: Brown кондитерский цех")</f>
        <v/>
      </c>
      <c r="I237" s="18"/>
      <c r="J237" s="18"/>
      <c r="K237" s="18"/>
      <c r="L237" s="18"/>
      <c r="M237" s="18"/>
    </row>
    <row r="238" customFormat="false" ht="15" hidden="false" customHeight="false" outlineLevel="0" collapsed="false">
      <c r="A238" s="18" t="str">
        <f aca="false">IF(COUNTIF(Заказы!$N$3:$N$29,"&gt;0")=0,"","Получатель: "&amp;Заказы!N$2)</f>
        <v/>
      </c>
      <c r="B238" s="18"/>
      <c r="C238" s="18"/>
      <c r="D238" s="18"/>
      <c r="E238" s="18"/>
      <c r="F238" s="18"/>
      <c r="H238" s="18" t="str">
        <f aca="false">IF(COUNTIF(Заказы!$O$3:$O$29,"&gt;0")=0,"","Получатель: "&amp;Заказы!O$2)</f>
        <v/>
      </c>
      <c r="I238" s="18"/>
      <c r="J238" s="18"/>
      <c r="K238" s="18"/>
      <c r="L238" s="18"/>
      <c r="M238" s="18"/>
    </row>
    <row r="239" customFormat="false" ht="15" hidden="false" customHeight="false" outlineLevel="0" collapsed="false">
      <c r="A239" s="19" t="str">
        <f aca="false">IF(COUNTIF(Заказы!$N$3:$N$29,"&gt;0")=0,"","Накладная от: "&amp;TEXT(Заказы!$B$1,"dd.mm.yyyy"))</f>
        <v/>
      </c>
      <c r="B239" s="19"/>
      <c r="C239" s="19"/>
      <c r="D239" s="19"/>
      <c r="E239" s="19"/>
      <c r="F239" s="19"/>
      <c r="H239" s="19" t="str">
        <f aca="false">IF(COUNTIF(Заказы!$O$3:$O$29,"&gt;0")=0,"","Накладная от: "&amp;TEXT(Заказы!$B$1,"dd.mm.yyyy"))</f>
        <v/>
      </c>
      <c r="I239" s="19"/>
      <c r="J239" s="19"/>
      <c r="K239" s="19"/>
      <c r="L239" s="19"/>
      <c r="M239" s="19"/>
    </row>
    <row r="241" customFormat="false" ht="15" hidden="false" customHeight="false" outlineLevel="0" collapsed="false">
      <c r="A241" s="4" t="str">
        <f aca="false">IF(COUNTIF(Заказы!$N$3:$N$29,"&gt;0")=0,"","№")</f>
        <v/>
      </c>
      <c r="B241" s="4" t="str">
        <f aca="false">IF(COUNTIF(Заказы!$N$3:$N$29,"&gt;0")=0,"","Наименование")</f>
        <v/>
      </c>
      <c r="C241" s="4" t="str">
        <f aca="false">IF(COUNTIF(Заказы!$N$3:$N$29,"&gt;0")=0,"","Кол.")</f>
        <v/>
      </c>
      <c r="D241" s="4" t="str">
        <f aca="false">IF(COUNTIF(Заказы!$N$3:$N$29,"&gt;0")=0,"","Ед.")</f>
        <v/>
      </c>
      <c r="E241" s="4" t="str">
        <f aca="false">IF(COUNTIF(Заказы!$N$3:$N$29,"&gt;0")=0,"","Цена")</f>
        <v/>
      </c>
      <c r="F241" s="4" t="str">
        <f aca="false">IF(COUNTIF(Заказы!$N$3:$N$29,"&gt;0")=0,"","Сумма")</f>
        <v/>
      </c>
      <c r="H241" s="4" t="str">
        <f aca="false">IF(COUNTIF(Заказы!$O$3:$O$29,"&gt;0")=0,"","№")</f>
        <v/>
      </c>
      <c r="I241" s="4" t="str">
        <f aca="false">IF(COUNTIF(Заказы!$O$3:$O$29,"&gt;0")=0,"","Наименование")</f>
        <v/>
      </c>
      <c r="J241" s="4" t="str">
        <f aca="false">IF(COUNTIF(Заказы!$O$3:$O$29,"&gt;0")=0,"","Кол.")</f>
        <v/>
      </c>
      <c r="K241" s="4" t="str">
        <f aca="false">IF(COUNTIF(Заказы!$O$3:$O$29,"&gt;0")=0,"","Ед.")</f>
        <v/>
      </c>
      <c r="L241" s="4" t="str">
        <f aca="false">IF(COUNTIF(Заказы!$O$3:$O$29,"&gt;0")=0,"","Цена")</f>
        <v/>
      </c>
      <c r="M241" s="4" t="str">
        <f aca="false">IF(COUNTIF(Заказы!$O$3:$O$29,"&gt;0")=0,"","Сумма")</f>
        <v/>
      </c>
    </row>
    <row r="242" customFormat="false" ht="15" hidden="false" customHeight="false" outlineLevel="0" collapsed="false">
      <c r="A242" s="26" t="str">
        <f aca="false">IF(B242="","",1)</f>
        <v/>
      </c>
      <c r="B242" s="21" t="str">
        <f aca="false" t="array" ref="B242:B242">IFERROR(INDEX(Заказы!$A$3:$A$29,SMALL(IF(Заказы!$N$3:$N$29&gt;0,ROW(Заказы!$N$3:$N$29)-ROW(N$3)+1),1)),"")</f>
        <v/>
      </c>
      <c r="C242" s="26" t="str">
        <f aca="false">IF(B242="","",INDEX(Заказы!$N$3:$N$29,MATCH(B242,Заказы!$A$3:$A$29,0)))</f>
        <v/>
      </c>
      <c r="D242" s="26" t="str">
        <f aca="false">IF(B242="","",VLOOKUP(B242,Каталог!$A:$C,2,0))</f>
        <v/>
      </c>
      <c r="E242" s="22" t="str">
        <f aca="false">IF(B242="","",VLOOKUP(B242,Каталог!$A:$C,3,0))</f>
        <v/>
      </c>
      <c r="F242" s="22" t="str">
        <f aca="false">IF(B242="","",C242*E242)</f>
        <v/>
      </c>
      <c r="H242" s="26" t="str">
        <f aca="false">IF(I242="","",1)</f>
        <v/>
      </c>
      <c r="I242" s="21" t="str">
        <f aca="false" t="array" ref="I242:I242">IFERROR(INDEX(Заказы!$A$3:$A$29,SMALL(IF(Заказы!$O$3:$O$29&gt;0,ROW(Заказы!$O$3:$O$29)-ROW(O$3)+1),1)),"")</f>
        <v/>
      </c>
      <c r="J242" s="26" t="str">
        <f aca="false">IF(I242="","",INDEX(Заказы!$O$3:$O$29,MATCH(I242,Заказы!$A$3:$A$29,0)))</f>
        <v/>
      </c>
      <c r="K242" s="26" t="str">
        <f aca="false">IF(I242="","",VLOOKUP(I242,Каталог!$A:$C,2,0))</f>
        <v/>
      </c>
      <c r="L242" s="22" t="str">
        <f aca="false">IF(I242="","",VLOOKUP(I242,Каталог!$A:$C,3,0))</f>
        <v/>
      </c>
      <c r="M242" s="22" t="str">
        <f aca="false">IF(I242="","",J242*L242)</f>
        <v/>
      </c>
    </row>
    <row r="243" customFormat="false" ht="15" hidden="false" customHeight="false" outlineLevel="0" collapsed="false">
      <c r="A243" s="26" t="str">
        <f aca="false">IF(B243="","",2)</f>
        <v/>
      </c>
      <c r="B243" s="21" t="str">
        <f aca="false" t="array" ref="B243:B243">IFERROR(INDEX(Заказы!$A$3:$A$29,SMALL(IF(Заказы!$N$3:$N$29&gt;0,ROW(Заказы!$N$3:$N$29)-ROW(N$3)+1),2)),"")</f>
        <v/>
      </c>
      <c r="C243" s="26" t="str">
        <f aca="false">IF(B243="","",INDEX(Заказы!$N$3:$N$29,MATCH(B243,Заказы!$A$3:$A$29,0)))</f>
        <v/>
      </c>
      <c r="D243" s="26" t="str">
        <f aca="false">IF(B243="","",VLOOKUP(B243,Каталог!$A:$C,2,0))</f>
        <v/>
      </c>
      <c r="E243" s="22" t="str">
        <f aca="false">IF(B243="","",VLOOKUP(B243,Каталог!$A:$C,3,0))</f>
        <v/>
      </c>
      <c r="F243" s="22" t="str">
        <f aca="false">IF(B243="","",C243*E243)</f>
        <v/>
      </c>
      <c r="H243" s="26" t="str">
        <f aca="false">IF(I243="","",2)</f>
        <v/>
      </c>
      <c r="I243" s="21" t="str">
        <f aca="false" t="array" ref="I243:I243">IFERROR(INDEX(Заказы!$A$3:$A$29,SMALL(IF(Заказы!$O$3:$O$29&gt;0,ROW(Заказы!$O$3:$O$29)-ROW(O$3)+1),2)),"")</f>
        <v/>
      </c>
      <c r="J243" s="26" t="str">
        <f aca="false">IF(I243="","",INDEX(Заказы!$O$3:$O$29,MATCH(I243,Заказы!$A$3:$A$29,0)))</f>
        <v/>
      </c>
      <c r="K243" s="26" t="str">
        <f aca="false">IF(I243="","",VLOOKUP(I243,Каталог!$A:$C,2,0))</f>
        <v/>
      </c>
      <c r="L243" s="22" t="str">
        <f aca="false">IF(I243="","",VLOOKUP(I243,Каталог!$A:$C,3,0))</f>
        <v/>
      </c>
      <c r="M243" s="22" t="str">
        <f aca="false">IF(I243="","",J243*L243)</f>
        <v/>
      </c>
    </row>
    <row r="244" customFormat="false" ht="15" hidden="false" customHeight="false" outlineLevel="0" collapsed="false">
      <c r="A244" s="26" t="str">
        <f aca="false">IF(B244="","",3)</f>
        <v/>
      </c>
      <c r="B244" s="21" t="str">
        <f aca="false" t="array" ref="B244:B244">IFERROR(INDEX(Заказы!$A$3:$A$29,SMALL(IF(Заказы!$N$3:$N$29&gt;0,ROW(Заказы!$N$3:$N$29)-ROW(N$3)+1),3)),"")</f>
        <v/>
      </c>
      <c r="C244" s="26" t="str">
        <f aca="false">IF(B244="","",INDEX(Заказы!$N$3:$N$29,MATCH(B244,Заказы!$A$3:$A$29,0)))</f>
        <v/>
      </c>
      <c r="D244" s="26" t="str">
        <f aca="false">IF(B244="","",VLOOKUP(B244,Каталог!$A:$C,2,0))</f>
        <v/>
      </c>
      <c r="E244" s="22" t="str">
        <f aca="false">IF(B244="","",VLOOKUP(B244,Каталог!$A:$C,3,0))</f>
        <v/>
      </c>
      <c r="F244" s="22" t="str">
        <f aca="false">IF(B244="","",C244*E244)</f>
        <v/>
      </c>
      <c r="H244" s="26" t="str">
        <f aca="false">IF(I244="","",3)</f>
        <v/>
      </c>
      <c r="I244" s="21" t="str">
        <f aca="false" t="array" ref="I244:I244">IFERROR(INDEX(Заказы!$A$3:$A$29,SMALL(IF(Заказы!$O$3:$O$29&gt;0,ROW(Заказы!$O$3:$O$29)-ROW(O$3)+1),3)),"")</f>
        <v/>
      </c>
      <c r="J244" s="26" t="str">
        <f aca="false">IF(I244="","",INDEX(Заказы!$O$3:$O$29,MATCH(I244,Заказы!$A$3:$A$29,0)))</f>
        <v/>
      </c>
      <c r="K244" s="26" t="str">
        <f aca="false">IF(I244="","",VLOOKUP(I244,Каталог!$A:$C,2,0))</f>
        <v/>
      </c>
      <c r="L244" s="22" t="str">
        <f aca="false">IF(I244="","",VLOOKUP(I244,Каталог!$A:$C,3,0))</f>
        <v/>
      </c>
      <c r="M244" s="22" t="str">
        <f aca="false">IF(I244="","",J244*L244)</f>
        <v/>
      </c>
    </row>
    <row r="245" customFormat="false" ht="15" hidden="false" customHeight="false" outlineLevel="0" collapsed="false">
      <c r="A245" s="26" t="str">
        <f aca="false">IF(B245="","",4)</f>
        <v/>
      </c>
      <c r="B245" s="21" t="str">
        <f aca="false" t="array" ref="B245:B245">IFERROR(INDEX(Заказы!$A$3:$A$29,SMALL(IF(Заказы!$N$3:$N$29&gt;0,ROW(Заказы!$N$3:$N$29)-ROW(N$3)+1),4)),"")</f>
        <v/>
      </c>
      <c r="C245" s="26" t="str">
        <f aca="false">IF(B245="","",INDEX(Заказы!$N$3:$N$29,MATCH(B245,Заказы!$A$3:$A$29,0)))</f>
        <v/>
      </c>
      <c r="D245" s="26" t="str">
        <f aca="false">IF(B245="","",VLOOKUP(B245,Каталог!$A:$C,2,0))</f>
        <v/>
      </c>
      <c r="E245" s="22" t="str">
        <f aca="false">IF(B245="","",VLOOKUP(B245,Каталог!$A:$C,3,0))</f>
        <v/>
      </c>
      <c r="F245" s="22" t="str">
        <f aca="false">IF(B245="","",C245*E245)</f>
        <v/>
      </c>
      <c r="H245" s="26" t="str">
        <f aca="false">IF(I245="","",4)</f>
        <v/>
      </c>
      <c r="I245" s="21" t="str">
        <f aca="false" t="array" ref="I245:I245">IFERROR(INDEX(Заказы!$A$3:$A$29,SMALL(IF(Заказы!$O$3:$O$29&gt;0,ROW(Заказы!$O$3:$O$29)-ROW(O$3)+1),4)),"")</f>
        <v/>
      </c>
      <c r="J245" s="26" t="str">
        <f aca="false">IF(I245="","",INDEX(Заказы!$O$3:$O$29,MATCH(I245,Заказы!$A$3:$A$29,0)))</f>
        <v/>
      </c>
      <c r="K245" s="26" t="str">
        <f aca="false">IF(I245="","",VLOOKUP(I245,Каталог!$A:$C,2,0))</f>
        <v/>
      </c>
      <c r="L245" s="22" t="str">
        <f aca="false">IF(I245="","",VLOOKUP(I245,Каталог!$A:$C,3,0))</f>
        <v/>
      </c>
      <c r="M245" s="22" t="str">
        <f aca="false">IF(I245="","",J245*L245)</f>
        <v/>
      </c>
    </row>
    <row r="246" customFormat="false" ht="15" hidden="false" customHeight="false" outlineLevel="0" collapsed="false">
      <c r="A246" s="26" t="str">
        <f aca="false">IF(B246="","",5)</f>
        <v/>
      </c>
      <c r="B246" s="21" t="str">
        <f aca="false" t="array" ref="B246:B246">IFERROR(INDEX(Заказы!$A$3:$A$29,SMALL(IF(Заказы!$N$3:$N$29&gt;0,ROW(Заказы!$N$3:$N$29)-ROW(N$3)+1),5)),"")</f>
        <v/>
      </c>
      <c r="C246" s="26" t="str">
        <f aca="false">IF(B246="","",INDEX(Заказы!$N$3:$N$29,MATCH(B246,Заказы!$A$3:$A$29,0)))</f>
        <v/>
      </c>
      <c r="D246" s="26" t="str">
        <f aca="false">IF(B246="","",VLOOKUP(B246,Каталог!$A:$C,2,0))</f>
        <v/>
      </c>
      <c r="E246" s="22" t="str">
        <f aca="false">IF(B246="","",VLOOKUP(B246,Каталог!$A:$C,3,0))</f>
        <v/>
      </c>
      <c r="F246" s="22" t="str">
        <f aca="false">IF(B246="","",C246*E246)</f>
        <v/>
      </c>
      <c r="H246" s="26" t="str">
        <f aca="false">IF(I246="","",5)</f>
        <v/>
      </c>
      <c r="I246" s="21" t="str">
        <f aca="false" t="array" ref="I246:I246">IFERROR(INDEX(Заказы!$A$3:$A$29,SMALL(IF(Заказы!$O$3:$O$29&gt;0,ROW(Заказы!$O$3:$O$29)-ROW(O$3)+1),5)),"")</f>
        <v/>
      </c>
      <c r="J246" s="26" t="str">
        <f aca="false">IF(I246="","",INDEX(Заказы!$O$3:$O$29,MATCH(I246,Заказы!$A$3:$A$29,0)))</f>
        <v/>
      </c>
      <c r="K246" s="26" t="str">
        <f aca="false">IF(I246="","",VLOOKUP(I246,Каталог!$A:$C,2,0))</f>
        <v/>
      </c>
      <c r="L246" s="22" t="str">
        <f aca="false">IF(I246="","",VLOOKUP(I246,Каталог!$A:$C,3,0))</f>
        <v/>
      </c>
      <c r="M246" s="22" t="str">
        <f aca="false">IF(I246="","",J246*L246)</f>
        <v/>
      </c>
    </row>
    <row r="247" customFormat="false" ht="15" hidden="false" customHeight="false" outlineLevel="0" collapsed="false">
      <c r="A247" s="26" t="str">
        <f aca="false">IF(B247="","",6)</f>
        <v/>
      </c>
      <c r="B247" s="21" t="str">
        <f aca="false" t="array" ref="B247:B247">IFERROR(INDEX(Заказы!$A$3:$A$29,SMALL(IF(Заказы!$N$3:$N$29&gt;0,ROW(Заказы!$N$3:$N$29)-ROW(N$3)+1),6)),"")</f>
        <v/>
      </c>
      <c r="C247" s="26" t="str">
        <f aca="false">IF(B247="","",INDEX(Заказы!$N$3:$N$29,MATCH(B247,Заказы!$A$3:$A$29,0)))</f>
        <v/>
      </c>
      <c r="D247" s="26" t="str">
        <f aca="false">IF(B247="","",VLOOKUP(B247,Каталог!$A:$C,2,0))</f>
        <v/>
      </c>
      <c r="E247" s="22" t="str">
        <f aca="false">IF(B247="","",VLOOKUP(B247,Каталог!$A:$C,3,0))</f>
        <v/>
      </c>
      <c r="F247" s="22" t="str">
        <f aca="false">IF(B247="","",C247*E247)</f>
        <v/>
      </c>
      <c r="H247" s="26" t="str">
        <f aca="false">IF(I247="","",6)</f>
        <v/>
      </c>
      <c r="I247" s="21" t="str">
        <f aca="false" t="array" ref="I247:I247">IFERROR(INDEX(Заказы!$A$3:$A$29,SMALL(IF(Заказы!$O$3:$O$29&gt;0,ROW(Заказы!$O$3:$O$29)-ROW(O$3)+1),6)),"")</f>
        <v/>
      </c>
      <c r="J247" s="26" t="str">
        <f aca="false">IF(I247="","",INDEX(Заказы!$O$3:$O$29,MATCH(I247,Заказы!$A$3:$A$29,0)))</f>
        <v/>
      </c>
      <c r="K247" s="26" t="str">
        <f aca="false">IF(I247="","",VLOOKUP(I247,Каталог!$A:$C,2,0))</f>
        <v/>
      </c>
      <c r="L247" s="22" t="str">
        <f aca="false">IF(I247="","",VLOOKUP(I247,Каталог!$A:$C,3,0))</f>
        <v/>
      </c>
      <c r="M247" s="22" t="str">
        <f aca="false">IF(I247="","",J247*L247)</f>
        <v/>
      </c>
    </row>
    <row r="248" customFormat="false" ht="15" hidden="false" customHeight="false" outlineLevel="0" collapsed="false">
      <c r="A248" s="26" t="str">
        <f aca="false">IF(B248="","",7)</f>
        <v/>
      </c>
      <c r="B248" s="21" t="str">
        <f aca="false" t="array" ref="B248:B248">IFERROR(INDEX(Заказы!$A$3:$A$29,SMALL(IF(Заказы!$N$3:$N$29&gt;0,ROW(Заказы!$N$3:$N$29)-ROW(N$3)+1),7)),"")</f>
        <v/>
      </c>
      <c r="C248" s="26" t="str">
        <f aca="false">IF(B248="","",INDEX(Заказы!$N$3:$N$29,MATCH(B248,Заказы!$A$3:$A$29,0)))</f>
        <v/>
      </c>
      <c r="D248" s="26" t="str">
        <f aca="false">IF(B248="","",VLOOKUP(B248,Каталог!$A:$C,2,0))</f>
        <v/>
      </c>
      <c r="E248" s="22" t="str">
        <f aca="false">IF(B248="","",VLOOKUP(B248,Каталог!$A:$C,3,0))</f>
        <v/>
      </c>
      <c r="F248" s="22" t="str">
        <f aca="false">IF(B248="","",C248*E248)</f>
        <v/>
      </c>
      <c r="H248" s="26" t="str">
        <f aca="false">IF(I248="","",7)</f>
        <v/>
      </c>
      <c r="I248" s="21" t="str">
        <f aca="false" t="array" ref="I248:I248">IFERROR(INDEX(Заказы!$A$3:$A$29,SMALL(IF(Заказы!$O$3:$O$29&gt;0,ROW(Заказы!$O$3:$O$29)-ROW(O$3)+1),7)),"")</f>
        <v/>
      </c>
      <c r="J248" s="26" t="str">
        <f aca="false">IF(I248="","",INDEX(Заказы!$O$3:$O$29,MATCH(I248,Заказы!$A$3:$A$29,0)))</f>
        <v/>
      </c>
      <c r="K248" s="26" t="str">
        <f aca="false">IF(I248="","",VLOOKUP(I248,Каталог!$A:$C,2,0))</f>
        <v/>
      </c>
      <c r="L248" s="22" t="str">
        <f aca="false">IF(I248="","",VLOOKUP(I248,Каталог!$A:$C,3,0))</f>
        <v/>
      </c>
      <c r="M248" s="22" t="str">
        <f aca="false">IF(I248="","",J248*L248)</f>
        <v/>
      </c>
    </row>
    <row r="249" customFormat="false" ht="15" hidden="false" customHeight="false" outlineLevel="0" collapsed="false">
      <c r="A249" s="26" t="str">
        <f aca="false">IF(B249="","",8)</f>
        <v/>
      </c>
      <c r="B249" s="21" t="str">
        <f aca="false" t="array" ref="B249:B249">IFERROR(INDEX(Заказы!$A$3:$A$29,SMALL(IF(Заказы!$N$3:$N$29&gt;0,ROW(Заказы!$N$3:$N$29)-ROW(N$3)+1),8)),"")</f>
        <v/>
      </c>
      <c r="C249" s="26" t="str">
        <f aca="false">IF(B249="","",INDEX(Заказы!$N$3:$N$29,MATCH(B249,Заказы!$A$3:$A$29,0)))</f>
        <v/>
      </c>
      <c r="D249" s="26" t="str">
        <f aca="false">IF(B249="","",VLOOKUP(B249,Каталог!$A:$C,2,0))</f>
        <v/>
      </c>
      <c r="E249" s="22" t="str">
        <f aca="false">IF(B249="","",VLOOKUP(B249,Каталог!$A:$C,3,0))</f>
        <v/>
      </c>
      <c r="F249" s="22" t="str">
        <f aca="false">IF(B249="","",C249*E249)</f>
        <v/>
      </c>
      <c r="H249" s="26" t="str">
        <f aca="false">IF(I249="","",8)</f>
        <v/>
      </c>
      <c r="I249" s="21" t="str">
        <f aca="false" t="array" ref="I249:I249">IFERROR(INDEX(Заказы!$A$3:$A$29,SMALL(IF(Заказы!$O$3:$O$29&gt;0,ROW(Заказы!$O$3:$O$29)-ROW(O$3)+1),8)),"")</f>
        <v/>
      </c>
      <c r="J249" s="26" t="str">
        <f aca="false">IF(I249="","",INDEX(Заказы!$O$3:$O$29,MATCH(I249,Заказы!$A$3:$A$29,0)))</f>
        <v/>
      </c>
      <c r="K249" s="26" t="str">
        <f aca="false">IF(I249="","",VLOOKUP(I249,Каталог!$A:$C,2,0))</f>
        <v/>
      </c>
      <c r="L249" s="22" t="str">
        <f aca="false">IF(I249="","",VLOOKUP(I249,Каталог!$A:$C,3,0))</f>
        <v/>
      </c>
      <c r="M249" s="22" t="str">
        <f aca="false">IF(I249="","",J249*L249)</f>
        <v/>
      </c>
    </row>
    <row r="250" customFormat="false" ht="15" hidden="false" customHeight="false" outlineLevel="0" collapsed="false">
      <c r="A250" s="26" t="str">
        <f aca="false">IF(B250="","",9)</f>
        <v/>
      </c>
      <c r="B250" s="21" t="str">
        <f aca="false" t="array" ref="B250:B250">IFERROR(INDEX(Заказы!$A$3:$A$29,SMALL(IF(Заказы!$N$3:$N$29&gt;0,ROW(Заказы!$N$3:$N$29)-ROW(N$3)+1),9)),"")</f>
        <v/>
      </c>
      <c r="C250" s="26" t="str">
        <f aca="false">IF(B250="","",INDEX(Заказы!$N$3:$N$29,MATCH(B250,Заказы!$A$3:$A$29,0)))</f>
        <v/>
      </c>
      <c r="D250" s="26" t="str">
        <f aca="false">IF(B250="","",VLOOKUP(B250,Каталог!$A:$C,2,0))</f>
        <v/>
      </c>
      <c r="E250" s="22" t="str">
        <f aca="false">IF(B250="","",VLOOKUP(B250,Каталог!$A:$C,3,0))</f>
        <v/>
      </c>
      <c r="F250" s="22" t="str">
        <f aca="false">IF(B250="","",C250*E250)</f>
        <v/>
      </c>
      <c r="H250" s="26" t="str">
        <f aca="false">IF(I250="","",9)</f>
        <v/>
      </c>
      <c r="I250" s="21" t="str">
        <f aca="false" t="array" ref="I250:I250">IFERROR(INDEX(Заказы!$A$3:$A$29,SMALL(IF(Заказы!$O$3:$O$29&gt;0,ROW(Заказы!$O$3:$O$29)-ROW(O$3)+1),9)),"")</f>
        <v/>
      </c>
      <c r="J250" s="26" t="str">
        <f aca="false">IF(I250="","",INDEX(Заказы!$O$3:$O$29,MATCH(I250,Заказы!$A$3:$A$29,0)))</f>
        <v/>
      </c>
      <c r="K250" s="26" t="str">
        <f aca="false">IF(I250="","",VLOOKUP(I250,Каталог!$A:$C,2,0))</f>
        <v/>
      </c>
      <c r="L250" s="22" t="str">
        <f aca="false">IF(I250="","",VLOOKUP(I250,Каталог!$A:$C,3,0))</f>
        <v/>
      </c>
      <c r="M250" s="22" t="str">
        <f aca="false">IF(I250="","",J250*L250)</f>
        <v/>
      </c>
    </row>
    <row r="251" customFormat="false" ht="15" hidden="false" customHeight="false" outlineLevel="0" collapsed="false">
      <c r="A251" s="26" t="str">
        <f aca="false">IF(B251="","",10)</f>
        <v/>
      </c>
      <c r="B251" s="21" t="str">
        <f aca="false" t="array" ref="B251:B251">IFERROR(INDEX(Заказы!$A$3:$A$29,SMALL(IF(Заказы!$N$3:$N$29&gt;0,ROW(Заказы!$N$3:$N$29)-ROW(N$3)+1),10)),"")</f>
        <v/>
      </c>
      <c r="C251" s="26" t="str">
        <f aca="false">IF(B251="","",INDEX(Заказы!$N$3:$N$29,MATCH(B251,Заказы!$A$3:$A$29,0)))</f>
        <v/>
      </c>
      <c r="D251" s="26" t="str">
        <f aca="false">IF(B251="","",VLOOKUP(B251,Каталог!$A:$C,2,0))</f>
        <v/>
      </c>
      <c r="E251" s="22" t="str">
        <f aca="false">IF(B251="","",VLOOKUP(B251,Каталог!$A:$C,3,0))</f>
        <v/>
      </c>
      <c r="F251" s="22" t="str">
        <f aca="false">IF(B251="","",C251*E251)</f>
        <v/>
      </c>
      <c r="H251" s="26" t="str">
        <f aca="false">IF(I251="","",10)</f>
        <v/>
      </c>
      <c r="I251" s="21" t="str">
        <f aca="false" t="array" ref="I251:I251">IFERROR(INDEX(Заказы!$A$3:$A$29,SMALL(IF(Заказы!$O$3:$O$29&gt;0,ROW(Заказы!$O$3:$O$29)-ROW(O$3)+1),10)),"")</f>
        <v/>
      </c>
      <c r="J251" s="26" t="str">
        <f aca="false">IF(I251="","",INDEX(Заказы!$O$3:$O$29,MATCH(I251,Заказы!$A$3:$A$29,0)))</f>
        <v/>
      </c>
      <c r="K251" s="26" t="str">
        <f aca="false">IF(I251="","",VLOOKUP(I251,Каталог!$A:$C,2,0))</f>
        <v/>
      </c>
      <c r="L251" s="22" t="str">
        <f aca="false">IF(I251="","",VLOOKUP(I251,Каталог!$A:$C,3,0))</f>
        <v/>
      </c>
      <c r="M251" s="22" t="str">
        <f aca="false">IF(I251="","",J251*L251)</f>
        <v/>
      </c>
    </row>
    <row r="252" customFormat="false" ht="15" hidden="false" customHeight="false" outlineLevel="0" collapsed="false">
      <c r="A252" s="26" t="str">
        <f aca="false">IF(B252="","",11)</f>
        <v/>
      </c>
      <c r="B252" s="21" t="str">
        <f aca="false" t="array" ref="B252:B252">IFERROR(INDEX(Заказы!$A$3:$A$29,SMALL(IF(Заказы!$N$3:$N$29&gt;0,ROW(Заказы!$N$3:$N$29)-ROW(N$3)+1),11)),"")</f>
        <v/>
      </c>
      <c r="C252" s="26" t="str">
        <f aca="false">IF(B252="","",INDEX(Заказы!$N$3:$N$29,MATCH(B252,Заказы!$A$3:$A$29,0)))</f>
        <v/>
      </c>
      <c r="D252" s="26" t="str">
        <f aca="false">IF(B252="","",VLOOKUP(B252,Каталог!$A:$C,2,0))</f>
        <v/>
      </c>
      <c r="E252" s="22" t="str">
        <f aca="false">IF(B252="","",VLOOKUP(B252,Каталог!$A:$C,3,0))</f>
        <v/>
      </c>
      <c r="F252" s="22" t="str">
        <f aca="false">IF(B252="","",C252*E252)</f>
        <v/>
      </c>
      <c r="H252" s="26" t="str">
        <f aca="false">IF(I252="","",11)</f>
        <v/>
      </c>
      <c r="I252" s="21" t="str">
        <f aca="false" t="array" ref="I252:I252">IFERROR(INDEX(Заказы!$A$3:$A$29,SMALL(IF(Заказы!$O$3:$O$29&gt;0,ROW(Заказы!$O$3:$O$29)-ROW(O$3)+1),11)),"")</f>
        <v/>
      </c>
      <c r="J252" s="26" t="str">
        <f aca="false">IF(I252="","",INDEX(Заказы!$O$3:$O$29,MATCH(I252,Заказы!$A$3:$A$29,0)))</f>
        <v/>
      </c>
      <c r="K252" s="26" t="str">
        <f aca="false">IF(I252="","",VLOOKUP(I252,Каталог!$A:$C,2,0))</f>
        <v/>
      </c>
      <c r="L252" s="22" t="str">
        <f aca="false">IF(I252="","",VLOOKUP(I252,Каталог!$A:$C,3,0))</f>
        <v/>
      </c>
      <c r="M252" s="22" t="str">
        <f aca="false">IF(I252="","",J252*L252)</f>
        <v/>
      </c>
    </row>
    <row r="253" customFormat="false" ht="15" hidden="false" customHeight="false" outlineLevel="0" collapsed="false">
      <c r="A253" s="26" t="str">
        <f aca="false">IF(B253="","",12)</f>
        <v/>
      </c>
      <c r="B253" s="21" t="str">
        <f aca="false" t="array" ref="B253:B253">IFERROR(INDEX(Заказы!$A$3:$A$29,SMALL(IF(Заказы!$N$3:$N$29&gt;0,ROW(Заказы!$N$3:$N$29)-ROW(N$3)+1),12)),"")</f>
        <v/>
      </c>
      <c r="C253" s="26" t="str">
        <f aca="false">IF(B253="","",INDEX(Заказы!$N$3:$N$29,MATCH(B253,Заказы!$A$3:$A$29,0)))</f>
        <v/>
      </c>
      <c r="D253" s="26" t="str">
        <f aca="false">IF(B253="","",VLOOKUP(B253,Каталог!$A:$C,2,0))</f>
        <v/>
      </c>
      <c r="E253" s="22" t="str">
        <f aca="false">IF(B253="","",VLOOKUP(B253,Каталог!$A:$C,3,0))</f>
        <v/>
      </c>
      <c r="F253" s="22" t="str">
        <f aca="false">IF(B253="","",C253*E253)</f>
        <v/>
      </c>
      <c r="H253" s="26" t="str">
        <f aca="false">IF(I253="","",12)</f>
        <v/>
      </c>
      <c r="I253" s="21" t="str">
        <f aca="false" t="array" ref="I253:I253">IFERROR(INDEX(Заказы!$A$3:$A$29,SMALL(IF(Заказы!$O$3:$O$29&gt;0,ROW(Заказы!$O$3:$O$29)-ROW(O$3)+1),12)),"")</f>
        <v/>
      </c>
      <c r="J253" s="26" t="str">
        <f aca="false">IF(I253="","",INDEX(Заказы!$O$3:$O$29,MATCH(I253,Заказы!$A$3:$A$29,0)))</f>
        <v/>
      </c>
      <c r="K253" s="26" t="str">
        <f aca="false">IF(I253="","",VLOOKUP(I253,Каталог!$A:$C,2,0))</f>
        <v/>
      </c>
      <c r="L253" s="22" t="str">
        <f aca="false">IF(I253="","",VLOOKUP(I253,Каталог!$A:$C,3,0))</f>
        <v/>
      </c>
      <c r="M253" s="22" t="str">
        <f aca="false">IF(I253="","",J253*L253)</f>
        <v/>
      </c>
    </row>
    <row r="254" customFormat="false" ht="15" hidden="false" customHeight="false" outlineLevel="0" collapsed="false">
      <c r="A254" s="26" t="str">
        <f aca="false">IF(B254="","",13)</f>
        <v/>
      </c>
      <c r="B254" s="21" t="str">
        <f aca="false" t="array" ref="B254:B254">IFERROR(INDEX(Заказы!$A$3:$A$29,SMALL(IF(Заказы!$N$3:$N$29&gt;0,ROW(Заказы!$N$3:$N$29)-ROW(N$3)+1),13)),"")</f>
        <v/>
      </c>
      <c r="C254" s="26" t="str">
        <f aca="false">IF(B254="","",INDEX(Заказы!$N$3:$N$29,MATCH(B254,Заказы!$A$3:$A$29,0)))</f>
        <v/>
      </c>
      <c r="D254" s="26" t="str">
        <f aca="false">IF(B254="","",VLOOKUP(B254,Каталог!$A:$C,2,0))</f>
        <v/>
      </c>
      <c r="E254" s="22" t="str">
        <f aca="false">IF(B254="","",VLOOKUP(B254,Каталог!$A:$C,3,0))</f>
        <v/>
      </c>
      <c r="F254" s="22" t="str">
        <f aca="false">IF(B254="","",C254*E254)</f>
        <v/>
      </c>
      <c r="H254" s="26" t="str">
        <f aca="false">IF(I254="","",13)</f>
        <v/>
      </c>
      <c r="I254" s="21" t="str">
        <f aca="false" t="array" ref="I254:I254">IFERROR(INDEX(Заказы!$A$3:$A$29,SMALL(IF(Заказы!$O$3:$O$29&gt;0,ROW(Заказы!$O$3:$O$29)-ROW(O$3)+1),13)),"")</f>
        <v/>
      </c>
      <c r="J254" s="26" t="str">
        <f aca="false">IF(I254="","",INDEX(Заказы!$O$3:$O$29,MATCH(I254,Заказы!$A$3:$A$29,0)))</f>
        <v/>
      </c>
      <c r="K254" s="26" t="str">
        <f aca="false">IF(I254="","",VLOOKUP(I254,Каталог!$A:$C,2,0))</f>
        <v/>
      </c>
      <c r="L254" s="22" t="str">
        <f aca="false">IF(I254="","",VLOOKUP(I254,Каталог!$A:$C,3,0))</f>
        <v/>
      </c>
      <c r="M254" s="22" t="str">
        <f aca="false">IF(I254="","",J254*L254)</f>
        <v/>
      </c>
    </row>
    <row r="255" customFormat="false" ht="15" hidden="false" customHeight="false" outlineLevel="0" collapsed="false">
      <c r="A255" s="26" t="str">
        <f aca="false">IF(B255="","",14)</f>
        <v/>
      </c>
      <c r="B255" s="21" t="str">
        <f aca="false" t="array" ref="B255:B255">IFERROR(INDEX(Заказы!$A$3:$A$29,SMALL(IF(Заказы!$N$3:$N$29&gt;0,ROW(Заказы!$N$3:$N$29)-ROW(N$3)+1),14)),"")</f>
        <v/>
      </c>
      <c r="C255" s="26" t="str">
        <f aca="false">IF(B255="","",INDEX(Заказы!$N$3:$N$29,MATCH(B255,Заказы!$A$3:$A$29,0)))</f>
        <v/>
      </c>
      <c r="D255" s="26" t="str">
        <f aca="false">IF(B255="","",VLOOKUP(B255,Каталог!$A:$C,2,0))</f>
        <v/>
      </c>
      <c r="E255" s="22" t="str">
        <f aca="false">IF(B255="","",VLOOKUP(B255,Каталог!$A:$C,3,0))</f>
        <v/>
      </c>
      <c r="F255" s="22" t="str">
        <f aca="false">IF(B255="","",C255*E255)</f>
        <v/>
      </c>
      <c r="H255" s="26" t="str">
        <f aca="false">IF(I255="","",14)</f>
        <v/>
      </c>
      <c r="I255" s="21" t="str">
        <f aca="false" t="array" ref="I255:I255">IFERROR(INDEX(Заказы!$A$3:$A$29,SMALL(IF(Заказы!$O$3:$O$29&gt;0,ROW(Заказы!$O$3:$O$29)-ROW(O$3)+1),14)),"")</f>
        <v/>
      </c>
      <c r="J255" s="26" t="str">
        <f aca="false">IF(I255="","",INDEX(Заказы!$O$3:$O$29,MATCH(I255,Заказы!$A$3:$A$29,0)))</f>
        <v/>
      </c>
      <c r="K255" s="26" t="str">
        <f aca="false">IF(I255="","",VLOOKUP(I255,Каталог!$A:$C,2,0))</f>
        <v/>
      </c>
      <c r="L255" s="22" t="str">
        <f aca="false">IF(I255="","",VLOOKUP(I255,Каталог!$A:$C,3,0))</f>
        <v/>
      </c>
      <c r="M255" s="22" t="str">
        <f aca="false">IF(I255="","",J255*L255)</f>
        <v/>
      </c>
    </row>
    <row r="256" customFormat="false" ht="15" hidden="false" customHeight="false" outlineLevel="0" collapsed="false">
      <c r="A256" s="26" t="str">
        <f aca="false">IF(B256="","",15)</f>
        <v/>
      </c>
      <c r="B256" s="21" t="str">
        <f aca="false" t="array" ref="B256:B256">IFERROR(INDEX(Заказы!$A$3:$A$29,SMALL(IF(Заказы!$N$3:$N$29&gt;0,ROW(Заказы!$N$3:$N$29)-ROW(N$3)+1),15)),"")</f>
        <v/>
      </c>
      <c r="C256" s="26" t="str">
        <f aca="false">IF(B256="","",INDEX(Заказы!$N$3:$N$29,MATCH(B256,Заказы!$A$3:$A$29,0)))</f>
        <v/>
      </c>
      <c r="D256" s="26" t="str">
        <f aca="false">IF(B256="","",VLOOKUP(B256,Каталог!$A:$C,2,0))</f>
        <v/>
      </c>
      <c r="E256" s="22" t="str">
        <f aca="false">IF(B256="","",VLOOKUP(B256,Каталог!$A:$C,3,0))</f>
        <v/>
      </c>
      <c r="F256" s="22" t="str">
        <f aca="false">IF(B256="","",C256*E256)</f>
        <v/>
      </c>
      <c r="H256" s="26" t="str">
        <f aca="false">IF(I256="","",15)</f>
        <v/>
      </c>
      <c r="I256" s="21" t="str">
        <f aca="false" t="array" ref="I256:I256">IFERROR(INDEX(Заказы!$A$3:$A$29,SMALL(IF(Заказы!$O$3:$O$29&gt;0,ROW(Заказы!$O$3:$O$29)-ROW(O$3)+1),15)),"")</f>
        <v/>
      </c>
      <c r="J256" s="26" t="str">
        <f aca="false">IF(I256="","",INDEX(Заказы!$O$3:$O$29,MATCH(I256,Заказы!$A$3:$A$29,0)))</f>
        <v/>
      </c>
      <c r="K256" s="26" t="str">
        <f aca="false">IF(I256="","",VLOOKUP(I256,Каталог!$A:$C,2,0))</f>
        <v/>
      </c>
      <c r="L256" s="22" t="str">
        <f aca="false">IF(I256="","",VLOOKUP(I256,Каталог!$A:$C,3,0))</f>
        <v/>
      </c>
      <c r="M256" s="22" t="str">
        <f aca="false">IF(I256="","",J256*L256)</f>
        <v/>
      </c>
    </row>
    <row r="257" customFormat="false" ht="15" hidden="false" customHeight="false" outlineLevel="0" collapsed="false">
      <c r="A257" s="26" t="str">
        <f aca="false">IF(B257="","",16)</f>
        <v/>
      </c>
      <c r="B257" s="21" t="str">
        <f aca="false" t="array" ref="B257:B257">IFERROR(INDEX(Заказы!$A$3:$A$29,SMALL(IF(Заказы!$N$3:$N$29&gt;0,ROW(Заказы!$N$3:$N$29)-ROW(N$3)+1),16)),"")</f>
        <v/>
      </c>
      <c r="C257" s="26" t="str">
        <f aca="false">IF(B257="","",INDEX(Заказы!$N$3:$N$29,MATCH(B257,Заказы!$A$3:$A$29,0)))</f>
        <v/>
      </c>
      <c r="D257" s="26" t="str">
        <f aca="false">IF(B257="","",VLOOKUP(B257,Каталог!$A:$C,2,0))</f>
        <v/>
      </c>
      <c r="E257" s="22" t="str">
        <f aca="false">IF(B257="","",VLOOKUP(B257,Каталог!$A:$C,3,0))</f>
        <v/>
      </c>
      <c r="F257" s="22" t="str">
        <f aca="false">IF(B257="","",C257*E257)</f>
        <v/>
      </c>
      <c r="H257" s="26" t="str">
        <f aca="false">IF(I257="","",16)</f>
        <v/>
      </c>
      <c r="I257" s="21" t="str">
        <f aca="false" t="array" ref="I257:I257">IFERROR(INDEX(Заказы!$A$3:$A$29,SMALL(IF(Заказы!$O$3:$O$29&gt;0,ROW(Заказы!$O$3:$O$29)-ROW(O$3)+1),16)),"")</f>
        <v/>
      </c>
      <c r="J257" s="26" t="str">
        <f aca="false">IF(I257="","",INDEX(Заказы!$O$3:$O$29,MATCH(I257,Заказы!$A$3:$A$29,0)))</f>
        <v/>
      </c>
      <c r="K257" s="26" t="str">
        <f aca="false">IF(I257="","",VLOOKUP(I257,Каталог!$A:$C,2,0))</f>
        <v/>
      </c>
      <c r="L257" s="22" t="str">
        <f aca="false">IF(I257="","",VLOOKUP(I257,Каталог!$A:$C,3,0))</f>
        <v/>
      </c>
      <c r="M257" s="22" t="str">
        <f aca="false">IF(I257="","",J257*L257)</f>
        <v/>
      </c>
    </row>
    <row r="258" customFormat="false" ht="15" hidden="false" customHeight="false" outlineLevel="0" collapsed="false">
      <c r="A258" s="26" t="str">
        <f aca="false">IF(B258="","",17)</f>
        <v/>
      </c>
      <c r="B258" s="21" t="str">
        <f aca="false" t="array" ref="B258:B258">IFERROR(INDEX(Заказы!$A$3:$A$29,SMALL(IF(Заказы!$N$3:$N$29&gt;0,ROW(Заказы!$N$3:$N$29)-ROW(N$3)+1),17)),"")</f>
        <v/>
      </c>
      <c r="C258" s="26" t="str">
        <f aca="false">IF(B258="","",INDEX(Заказы!$N$3:$N$29,MATCH(B258,Заказы!$A$3:$A$29,0)))</f>
        <v/>
      </c>
      <c r="D258" s="26" t="str">
        <f aca="false">IF(B258="","",VLOOKUP(B258,Каталог!$A:$C,2,0))</f>
        <v/>
      </c>
      <c r="E258" s="22" t="str">
        <f aca="false">IF(B258="","",VLOOKUP(B258,Каталог!$A:$C,3,0))</f>
        <v/>
      </c>
      <c r="F258" s="22" t="str">
        <f aca="false">IF(B258="","",C258*E258)</f>
        <v/>
      </c>
      <c r="H258" s="26" t="str">
        <f aca="false">IF(I258="","",17)</f>
        <v/>
      </c>
      <c r="I258" s="21" t="str">
        <f aca="false" t="array" ref="I258:I258">IFERROR(INDEX(Заказы!$A$3:$A$29,SMALL(IF(Заказы!$O$3:$O$29&gt;0,ROW(Заказы!$O$3:$O$29)-ROW(O$3)+1),17)),"")</f>
        <v/>
      </c>
      <c r="J258" s="26" t="str">
        <f aca="false">IF(I258="","",INDEX(Заказы!$O$3:$O$29,MATCH(I258,Заказы!$A$3:$A$29,0)))</f>
        <v/>
      </c>
      <c r="K258" s="26" t="str">
        <f aca="false">IF(I258="","",VLOOKUP(I258,Каталог!$A:$C,2,0))</f>
        <v/>
      </c>
      <c r="L258" s="22" t="str">
        <f aca="false">IF(I258="","",VLOOKUP(I258,Каталог!$A:$C,3,0))</f>
        <v/>
      </c>
      <c r="M258" s="22" t="str">
        <f aca="false">IF(I258="","",J258*L258)</f>
        <v/>
      </c>
    </row>
    <row r="259" customFormat="false" ht="15" hidden="false" customHeight="false" outlineLevel="0" collapsed="false">
      <c r="A259" s="26" t="str">
        <f aca="false">IF(B259="","",18)</f>
        <v/>
      </c>
      <c r="B259" s="21" t="str">
        <f aca="false" t="array" ref="B259:B259">IFERROR(INDEX(Заказы!$A$3:$A$29,SMALL(IF(Заказы!$N$3:$N$29&gt;0,ROW(Заказы!$N$3:$N$29)-ROW(N$3)+1),18)),"")</f>
        <v/>
      </c>
      <c r="C259" s="26" t="str">
        <f aca="false">IF(B259="","",INDEX(Заказы!$N$3:$N$29,MATCH(B259,Заказы!$A$3:$A$29,0)))</f>
        <v/>
      </c>
      <c r="D259" s="26" t="str">
        <f aca="false">IF(B259="","",VLOOKUP(B259,Каталог!$A:$C,2,0))</f>
        <v/>
      </c>
      <c r="E259" s="22" t="str">
        <f aca="false">IF(B259="","",VLOOKUP(B259,Каталог!$A:$C,3,0))</f>
        <v/>
      </c>
      <c r="F259" s="22" t="str">
        <f aca="false">IF(B259="","",C259*E259)</f>
        <v/>
      </c>
      <c r="H259" s="26" t="str">
        <f aca="false">IF(I259="","",18)</f>
        <v/>
      </c>
      <c r="I259" s="21" t="str">
        <f aca="false" t="array" ref="I259:I259">IFERROR(INDEX(Заказы!$A$3:$A$29,SMALL(IF(Заказы!$O$3:$O$29&gt;0,ROW(Заказы!$O$3:$O$29)-ROW(O$3)+1),18)),"")</f>
        <v/>
      </c>
      <c r="J259" s="26" t="str">
        <f aca="false">IF(I259="","",INDEX(Заказы!$O$3:$O$29,MATCH(I259,Заказы!$A$3:$A$29,0)))</f>
        <v/>
      </c>
      <c r="K259" s="26" t="str">
        <f aca="false">IF(I259="","",VLOOKUP(I259,Каталог!$A:$C,2,0))</f>
        <v/>
      </c>
      <c r="L259" s="22" t="str">
        <f aca="false">IF(I259="","",VLOOKUP(I259,Каталог!$A:$C,3,0))</f>
        <v/>
      </c>
      <c r="M259" s="22" t="str">
        <f aca="false">IF(I259="","",J259*L259)</f>
        <v/>
      </c>
    </row>
    <row r="260" customFormat="false" ht="15" hidden="false" customHeight="false" outlineLevel="0" collapsed="false">
      <c r="A260" s="26" t="str">
        <f aca="false">IF(B260="","",19)</f>
        <v/>
      </c>
      <c r="B260" s="21" t="str">
        <f aca="false" t="array" ref="B260:B260">IFERROR(INDEX(Заказы!$A$3:$A$29,SMALL(IF(Заказы!$N$3:$N$29&gt;0,ROW(Заказы!$N$3:$N$29)-ROW(N$3)+1),19)),"")</f>
        <v/>
      </c>
      <c r="C260" s="26" t="str">
        <f aca="false">IF(B260="","",INDEX(Заказы!$N$3:$N$29,MATCH(B260,Заказы!$A$3:$A$29,0)))</f>
        <v/>
      </c>
      <c r="D260" s="26" t="str">
        <f aca="false">IF(B260="","",VLOOKUP(B260,Каталог!$A:$C,2,0))</f>
        <v/>
      </c>
      <c r="E260" s="22" t="str">
        <f aca="false">IF(B260="","",VLOOKUP(B260,Каталог!$A:$C,3,0))</f>
        <v/>
      </c>
      <c r="F260" s="22" t="str">
        <f aca="false">IF(B260="","",C260*E260)</f>
        <v/>
      </c>
      <c r="H260" s="26" t="str">
        <f aca="false">IF(I260="","",19)</f>
        <v/>
      </c>
      <c r="I260" s="21" t="str">
        <f aca="false" t="array" ref="I260:I260">IFERROR(INDEX(Заказы!$A$3:$A$29,SMALL(IF(Заказы!$O$3:$O$29&gt;0,ROW(Заказы!$O$3:$O$29)-ROW(O$3)+1),19)),"")</f>
        <v/>
      </c>
      <c r="J260" s="26" t="str">
        <f aca="false">IF(I260="","",INDEX(Заказы!$O$3:$O$29,MATCH(I260,Заказы!$A$3:$A$29,0)))</f>
        <v/>
      </c>
      <c r="K260" s="26" t="str">
        <f aca="false">IF(I260="","",VLOOKUP(I260,Каталог!$A:$C,2,0))</f>
        <v/>
      </c>
      <c r="L260" s="22" t="str">
        <f aca="false">IF(I260="","",VLOOKUP(I260,Каталог!$A:$C,3,0))</f>
        <v/>
      </c>
      <c r="M260" s="22" t="str">
        <f aca="false">IF(I260="","",J260*L260)</f>
        <v/>
      </c>
    </row>
    <row r="261" customFormat="false" ht="15" hidden="false" customHeight="false" outlineLevel="0" collapsed="false">
      <c r="A261" s="26" t="str">
        <f aca="false">IF(B261="","",20)</f>
        <v/>
      </c>
      <c r="B261" s="21" t="str">
        <f aca="false" t="array" ref="B261:B261">IFERROR(INDEX(Заказы!$A$3:$A$29,SMALL(IF(Заказы!$N$3:$N$29&gt;0,ROW(Заказы!$N$3:$N$29)-ROW(N$3)+1),20)),"")</f>
        <v/>
      </c>
      <c r="C261" s="26" t="str">
        <f aca="false">IF(B261="","",INDEX(Заказы!$N$3:$N$29,MATCH(B261,Заказы!$A$3:$A$29,0)))</f>
        <v/>
      </c>
      <c r="D261" s="26" t="str">
        <f aca="false">IF(B261="","",VLOOKUP(B261,Каталог!$A:$C,2,0))</f>
        <v/>
      </c>
      <c r="E261" s="22" t="str">
        <f aca="false">IF(B261="","",VLOOKUP(B261,Каталог!$A:$C,3,0))</f>
        <v/>
      </c>
      <c r="F261" s="22" t="str">
        <f aca="false">IF(B261="","",C261*E261)</f>
        <v/>
      </c>
      <c r="H261" s="26" t="str">
        <f aca="false">IF(I261="","",20)</f>
        <v/>
      </c>
      <c r="I261" s="21" t="str">
        <f aca="false" t="array" ref="I261:I261">IFERROR(INDEX(Заказы!$A$3:$A$29,SMALL(IF(Заказы!$O$3:$O$29&gt;0,ROW(Заказы!$O$3:$O$29)-ROW(O$3)+1),20)),"")</f>
        <v/>
      </c>
      <c r="J261" s="26" t="str">
        <f aca="false">IF(I261="","",INDEX(Заказы!$O$3:$O$29,MATCH(I261,Заказы!$A$3:$A$29,0)))</f>
        <v/>
      </c>
      <c r="K261" s="26" t="str">
        <f aca="false">IF(I261="","",VLOOKUP(I261,Каталог!$A:$C,2,0))</f>
        <v/>
      </c>
      <c r="L261" s="22" t="str">
        <f aca="false">IF(I261="","",VLOOKUP(I261,Каталог!$A:$C,3,0))</f>
        <v/>
      </c>
      <c r="M261" s="22" t="str">
        <f aca="false">IF(I261="","",J261*L261)</f>
        <v/>
      </c>
    </row>
    <row r="262" customFormat="false" ht="15" hidden="false" customHeight="false" outlineLevel="0" collapsed="false">
      <c r="A262" s="26" t="str">
        <f aca="false">IF(B262="","",21)</f>
        <v/>
      </c>
      <c r="B262" s="21" t="str">
        <f aca="false" t="array" ref="B262:B262">IFERROR(INDEX(Заказы!$A$3:$A$29,SMALL(IF(Заказы!$N$3:$N$29&gt;0,ROW(Заказы!$N$3:$N$29)-ROW(N$3)+1),21)),"")</f>
        <v/>
      </c>
      <c r="C262" s="26" t="str">
        <f aca="false">IF(B262="","",INDEX(Заказы!$N$3:$N$29,MATCH(B262,Заказы!$A$3:$A$29,0)))</f>
        <v/>
      </c>
      <c r="D262" s="26" t="str">
        <f aca="false">IF(B262="","",VLOOKUP(B262,Каталог!$A:$C,2,0))</f>
        <v/>
      </c>
      <c r="E262" s="22" t="str">
        <f aca="false">IF(B262="","",VLOOKUP(B262,Каталог!$A:$C,3,0))</f>
        <v/>
      </c>
      <c r="F262" s="22" t="str">
        <f aca="false">IF(B262="","",C262*E262)</f>
        <v/>
      </c>
      <c r="H262" s="26" t="str">
        <f aca="false">IF(I262="","",21)</f>
        <v/>
      </c>
      <c r="I262" s="21" t="str">
        <f aca="false" t="array" ref="I262:I262">IFERROR(INDEX(Заказы!$A$3:$A$29,SMALL(IF(Заказы!$O$3:$O$29&gt;0,ROW(Заказы!$O$3:$O$29)-ROW(O$3)+1),21)),"")</f>
        <v/>
      </c>
      <c r="J262" s="26" t="str">
        <f aca="false">IF(I262="","",INDEX(Заказы!$O$3:$O$29,MATCH(I262,Заказы!$A$3:$A$29,0)))</f>
        <v/>
      </c>
      <c r="K262" s="26" t="str">
        <f aca="false">IF(I262="","",VLOOKUP(I262,Каталог!$A:$C,2,0))</f>
        <v/>
      </c>
      <c r="L262" s="22" t="str">
        <f aca="false">IF(I262="","",VLOOKUP(I262,Каталог!$A:$C,3,0))</f>
        <v/>
      </c>
      <c r="M262" s="22" t="str">
        <f aca="false">IF(I262="","",J262*L262)</f>
        <v/>
      </c>
    </row>
    <row r="263" customFormat="false" ht="15" hidden="false" customHeight="false" outlineLevel="0" collapsed="false">
      <c r="A263" s="26" t="str">
        <f aca="false">IF(B263="","",22)</f>
        <v/>
      </c>
      <c r="B263" s="21" t="str">
        <f aca="false" t="array" ref="B263:B263">IFERROR(INDEX(Заказы!$A$3:$A$29,SMALL(IF(Заказы!$N$3:$N$29&gt;0,ROW(Заказы!$N$3:$N$29)-ROW(N$3)+1),22)),"")</f>
        <v/>
      </c>
      <c r="C263" s="26" t="str">
        <f aca="false">IF(B263="","",INDEX(Заказы!$N$3:$N$29,MATCH(B263,Заказы!$A$3:$A$29,0)))</f>
        <v/>
      </c>
      <c r="D263" s="26" t="str">
        <f aca="false">IF(B263="","",VLOOKUP(B263,Каталог!$A:$C,2,0))</f>
        <v/>
      </c>
      <c r="E263" s="22" t="str">
        <f aca="false">IF(B263="","",VLOOKUP(B263,Каталог!$A:$C,3,0))</f>
        <v/>
      </c>
      <c r="F263" s="22" t="str">
        <f aca="false">IF(B263="","",C263*E263)</f>
        <v/>
      </c>
      <c r="H263" s="26" t="str">
        <f aca="false">IF(I263="","",22)</f>
        <v/>
      </c>
      <c r="I263" s="21" t="str">
        <f aca="false" t="array" ref="I263:I263">IFERROR(INDEX(Заказы!$A$3:$A$29,SMALL(IF(Заказы!$O$3:$O$29&gt;0,ROW(Заказы!$O$3:$O$29)-ROW(O$3)+1),22)),"")</f>
        <v/>
      </c>
      <c r="J263" s="26" t="str">
        <f aca="false">IF(I263="","",INDEX(Заказы!$O$3:$O$29,MATCH(I263,Заказы!$A$3:$A$29,0)))</f>
        <v/>
      </c>
      <c r="K263" s="26" t="str">
        <f aca="false">IF(I263="","",VLOOKUP(I263,Каталог!$A:$C,2,0))</f>
        <v/>
      </c>
      <c r="L263" s="22" t="str">
        <f aca="false">IF(I263="","",VLOOKUP(I263,Каталог!$A:$C,3,0))</f>
        <v/>
      </c>
      <c r="M263" s="22" t="str">
        <f aca="false">IF(I263="","",J263*L263)</f>
        <v/>
      </c>
    </row>
    <row r="264" customFormat="false" ht="15" hidden="false" customHeight="false" outlineLevel="0" collapsed="false">
      <c r="A264" s="26" t="str">
        <f aca="false">IF(B264="","",23)</f>
        <v/>
      </c>
      <c r="B264" s="21" t="str">
        <f aca="false" t="array" ref="B264:B264">IFERROR(INDEX(Заказы!$A$3:$A$29,SMALL(IF(Заказы!$N$3:$N$29&gt;0,ROW(Заказы!$N$3:$N$29)-ROW(N$3)+1),23)),"")</f>
        <v/>
      </c>
      <c r="C264" s="26" t="str">
        <f aca="false">IF(B264="","",INDEX(Заказы!$N$3:$N$29,MATCH(B264,Заказы!$A$3:$A$29,0)))</f>
        <v/>
      </c>
      <c r="D264" s="26" t="str">
        <f aca="false">IF(B264="","",VLOOKUP(B264,Каталог!$A:$C,2,0))</f>
        <v/>
      </c>
      <c r="E264" s="22" t="str">
        <f aca="false">IF(B264="","",VLOOKUP(B264,Каталог!$A:$C,3,0))</f>
        <v/>
      </c>
      <c r="F264" s="22" t="str">
        <f aca="false">IF(B264="","",C264*E264)</f>
        <v/>
      </c>
      <c r="H264" s="26" t="str">
        <f aca="false">IF(I264="","",23)</f>
        <v/>
      </c>
      <c r="I264" s="21" t="str">
        <f aca="false" t="array" ref="I264:I264">IFERROR(INDEX(Заказы!$A$3:$A$29,SMALL(IF(Заказы!$O$3:$O$29&gt;0,ROW(Заказы!$O$3:$O$29)-ROW(O$3)+1),23)),"")</f>
        <v/>
      </c>
      <c r="J264" s="26" t="str">
        <f aca="false">IF(I264="","",INDEX(Заказы!$O$3:$O$29,MATCH(I264,Заказы!$A$3:$A$29,0)))</f>
        <v/>
      </c>
      <c r="K264" s="26" t="str">
        <f aca="false">IF(I264="","",VLOOKUP(I264,Каталог!$A:$C,2,0))</f>
        <v/>
      </c>
      <c r="L264" s="22" t="str">
        <f aca="false">IF(I264="","",VLOOKUP(I264,Каталог!$A:$C,3,0))</f>
        <v/>
      </c>
      <c r="M264" s="22" t="str">
        <f aca="false">IF(I264="","",J264*L264)</f>
        <v/>
      </c>
    </row>
    <row r="265" customFormat="false" ht="15" hidden="false" customHeight="false" outlineLevel="0" collapsed="false">
      <c r="A265" s="26" t="str">
        <f aca="false">IF(B265="","",24)</f>
        <v/>
      </c>
      <c r="B265" s="21" t="str">
        <f aca="false" t="array" ref="B265:B265">IFERROR(INDEX(Заказы!$A$3:$A$29,SMALL(IF(Заказы!$N$3:$N$29&gt;0,ROW(Заказы!$N$3:$N$29)-ROW(N$3)+1),24)),"")</f>
        <v/>
      </c>
      <c r="C265" s="26" t="str">
        <f aca="false">IF(B265="","",INDEX(Заказы!$N$3:$N$29,MATCH(B265,Заказы!$A$3:$A$29,0)))</f>
        <v/>
      </c>
      <c r="D265" s="26" t="str">
        <f aca="false">IF(B265="","",VLOOKUP(B265,Каталог!$A:$C,2,0))</f>
        <v/>
      </c>
      <c r="E265" s="22" t="str">
        <f aca="false">IF(B265="","",VLOOKUP(B265,Каталог!$A:$C,3,0))</f>
        <v/>
      </c>
      <c r="F265" s="22" t="str">
        <f aca="false">IF(B265="","",C265*E265)</f>
        <v/>
      </c>
      <c r="H265" s="26" t="str">
        <f aca="false">IF(I265="","",24)</f>
        <v/>
      </c>
      <c r="I265" s="21" t="str">
        <f aca="false" t="array" ref="I265:I265">IFERROR(INDEX(Заказы!$A$3:$A$29,SMALL(IF(Заказы!$O$3:$O$29&gt;0,ROW(Заказы!$O$3:$O$29)-ROW(O$3)+1),24)),"")</f>
        <v/>
      </c>
      <c r="J265" s="26" t="str">
        <f aca="false">IF(I265="","",INDEX(Заказы!$O$3:$O$29,MATCH(I265,Заказы!$A$3:$A$29,0)))</f>
        <v/>
      </c>
      <c r="K265" s="26" t="str">
        <f aca="false">IF(I265="","",VLOOKUP(I265,Каталог!$A:$C,2,0))</f>
        <v/>
      </c>
      <c r="L265" s="22" t="str">
        <f aca="false">IF(I265="","",VLOOKUP(I265,Каталог!$A:$C,3,0))</f>
        <v/>
      </c>
      <c r="M265" s="22" t="str">
        <f aca="false">IF(I265="","",J265*L265)</f>
        <v/>
      </c>
    </row>
    <row r="266" customFormat="false" ht="15" hidden="false" customHeight="false" outlineLevel="0" collapsed="false">
      <c r="A266" s="26" t="str">
        <f aca="false">IF(B266="","",25)</f>
        <v/>
      </c>
      <c r="B266" s="21" t="str">
        <f aca="false" t="array" ref="B266:B266">IFERROR(INDEX(Заказы!$A$3:$A$29,SMALL(IF(Заказы!$N$3:$N$29&gt;0,ROW(Заказы!$N$3:$N$29)-ROW(N$3)+1),25)),"")</f>
        <v/>
      </c>
      <c r="C266" s="26" t="str">
        <f aca="false">IF(B266="","",INDEX(Заказы!$N$3:$N$29,MATCH(B266,Заказы!$A$3:$A$29,0)))</f>
        <v/>
      </c>
      <c r="D266" s="26" t="str">
        <f aca="false">IF(B266="","",VLOOKUP(B266,Каталог!$A:$C,2,0))</f>
        <v/>
      </c>
      <c r="E266" s="22" t="str">
        <f aca="false">IF(B266="","",VLOOKUP(B266,Каталог!$A:$C,3,0))</f>
        <v/>
      </c>
      <c r="F266" s="22" t="str">
        <f aca="false">IF(B266="","",C266*E266)</f>
        <v/>
      </c>
      <c r="H266" s="26" t="str">
        <f aca="false">IF(I266="","",25)</f>
        <v/>
      </c>
      <c r="I266" s="21" t="str">
        <f aca="false" t="array" ref="I266:I266">IFERROR(INDEX(Заказы!$A$3:$A$29,SMALL(IF(Заказы!$O$3:$O$29&gt;0,ROW(Заказы!$O$3:$O$29)-ROW(O$3)+1),25)),"")</f>
        <v/>
      </c>
      <c r="J266" s="26" t="str">
        <f aca="false">IF(I266="","",INDEX(Заказы!$O$3:$O$29,MATCH(I266,Заказы!$A$3:$A$29,0)))</f>
        <v/>
      </c>
      <c r="K266" s="26" t="str">
        <f aca="false">IF(I266="","",VLOOKUP(I266,Каталог!$A:$C,2,0))</f>
        <v/>
      </c>
      <c r="L266" s="22" t="str">
        <f aca="false">IF(I266="","",VLOOKUP(I266,Каталог!$A:$C,3,0))</f>
        <v/>
      </c>
      <c r="M266" s="22" t="str">
        <f aca="false">IF(I266="","",J266*L266)</f>
        <v/>
      </c>
    </row>
    <row r="267" customFormat="false" ht="15" hidden="false" customHeight="false" outlineLevel="0" collapsed="false">
      <c r="A267" s="26" t="str">
        <f aca="false">IF(B267="","",26)</f>
        <v/>
      </c>
      <c r="B267" s="21" t="str">
        <f aca="false" t="array" ref="B267:B267">IFERROR(INDEX(Заказы!$A$3:$A$29,SMALL(IF(Заказы!$N$3:$N$29&gt;0,ROW(Заказы!$N$3:$N$29)-ROW(N$3)+1),26)),"")</f>
        <v/>
      </c>
      <c r="C267" s="26" t="str">
        <f aca="false">IF(B267="","",INDEX(Заказы!$N$3:$N$29,MATCH(B267,Заказы!$A$3:$A$29,0)))</f>
        <v/>
      </c>
      <c r="D267" s="26" t="str">
        <f aca="false">IF(B267="","",VLOOKUP(B267,Каталог!$A:$C,2,0))</f>
        <v/>
      </c>
      <c r="E267" s="22" t="str">
        <f aca="false">IF(B267="","",VLOOKUP(B267,Каталог!$A:$C,3,0))</f>
        <v/>
      </c>
      <c r="F267" s="22" t="str">
        <f aca="false">IF(B267="","",C267*E267)</f>
        <v/>
      </c>
      <c r="H267" s="26" t="str">
        <f aca="false">IF(I267="","",26)</f>
        <v/>
      </c>
      <c r="I267" s="21" t="str">
        <f aca="false" t="array" ref="I267:I267">IFERROR(INDEX(Заказы!$A$3:$A$29,SMALL(IF(Заказы!$O$3:$O$29&gt;0,ROW(Заказы!$O$3:$O$29)-ROW(O$3)+1),26)),"")</f>
        <v/>
      </c>
      <c r="J267" s="26" t="str">
        <f aca="false">IF(I267="","",INDEX(Заказы!$O$3:$O$29,MATCH(I267,Заказы!$A$3:$A$29,0)))</f>
        <v/>
      </c>
      <c r="K267" s="26" t="str">
        <f aca="false">IF(I267="","",VLOOKUP(I267,Каталог!$A:$C,2,0))</f>
        <v/>
      </c>
      <c r="L267" s="22" t="str">
        <f aca="false">IF(I267="","",VLOOKUP(I267,Каталог!$A:$C,3,0))</f>
        <v/>
      </c>
      <c r="M267" s="22" t="str">
        <f aca="false">IF(I267="","",J267*L267)</f>
        <v/>
      </c>
    </row>
    <row r="268" customFormat="false" ht="15" hidden="false" customHeight="false" outlineLevel="0" collapsed="false">
      <c r="A268" s="26" t="str">
        <f aca="false">IF(B268="","",27)</f>
        <v/>
      </c>
      <c r="B268" s="21" t="str">
        <f aca="false" t="array" ref="B268:B268">IFERROR(INDEX(Заказы!$A$3:$A$29,SMALL(IF(Заказы!$N$3:$N$29&gt;0,ROW(Заказы!$N$3:$N$29)-ROW(N$3)+1),27)),"")</f>
        <v/>
      </c>
      <c r="C268" s="26" t="str">
        <f aca="false">IF(B268="","",INDEX(Заказы!$N$3:$N$29,MATCH(B268,Заказы!$A$3:$A$29,0)))</f>
        <v/>
      </c>
      <c r="D268" s="26" t="str">
        <f aca="false">IF(B268="","",VLOOKUP(B268,Каталог!$A:$C,2,0))</f>
        <v/>
      </c>
      <c r="E268" s="22" t="str">
        <f aca="false">IF(B268="","",VLOOKUP(B268,Каталог!$A:$C,3,0))</f>
        <v/>
      </c>
      <c r="F268" s="22" t="str">
        <f aca="false">IF(B268="","",C268*E268)</f>
        <v/>
      </c>
      <c r="H268" s="26" t="str">
        <f aca="false">IF(I268="","",27)</f>
        <v/>
      </c>
      <c r="I268" s="21" t="str">
        <f aca="false" t="array" ref="I268:I268">IFERROR(INDEX(Заказы!$A$3:$A$29,SMALL(IF(Заказы!$O$3:$O$29&gt;0,ROW(Заказы!$O$3:$O$29)-ROW(O$3)+1),27)),"")</f>
        <v/>
      </c>
      <c r="J268" s="26" t="str">
        <f aca="false">IF(I268="","",INDEX(Заказы!$O$3:$O$29,MATCH(I268,Заказы!$A$3:$A$29,0)))</f>
        <v/>
      </c>
      <c r="K268" s="26" t="str">
        <f aca="false">IF(I268="","",VLOOKUP(I268,Каталог!$A:$C,2,0))</f>
        <v/>
      </c>
      <c r="L268" s="22" t="str">
        <f aca="false">IF(I268="","",VLOOKUP(I268,Каталог!$A:$C,3,0))</f>
        <v/>
      </c>
      <c r="M268" s="22" t="str">
        <f aca="false">IF(I268="","",J268*L268)</f>
        <v/>
      </c>
    </row>
    <row r="269" customFormat="false" ht="15" hidden="false" customHeight="false" outlineLevel="0" collapsed="false">
      <c r="A269" s="23"/>
      <c r="B269" s="23"/>
      <c r="C269" s="23"/>
      <c r="D269" s="23"/>
      <c r="E269" s="23"/>
      <c r="F269" s="23"/>
      <c r="H269" s="23"/>
      <c r="I269" s="23"/>
      <c r="J269" s="23"/>
      <c r="K269" s="23"/>
      <c r="L269" s="23"/>
      <c r="M269" s="23"/>
    </row>
    <row r="270" customFormat="false" ht="15" hidden="false" customHeight="false" outlineLevel="0" collapsed="false">
      <c r="A270" s="24" t="str">
        <f aca="false">IF(COUNTIF(Заказы!$N$3:$N$29,"&gt;0")=0,"","Итого:")</f>
        <v/>
      </c>
      <c r="B270" s="24"/>
      <c r="C270" s="24"/>
      <c r="D270" s="24"/>
      <c r="E270" s="25" t="str">
        <f aca="false">IF(COUNTIF(Заказы!$N$3:$N$29,"&gt;0")=0,"",SUM(F242:F268))</f>
        <v/>
      </c>
      <c r="F270" s="25"/>
      <c r="H270" s="24" t="str">
        <f aca="false">IF(COUNTIF(Заказы!$O$3:$O$29,"&gt;0")=0,"","Итого:")</f>
        <v/>
      </c>
      <c r="I270" s="24"/>
      <c r="J270" s="24"/>
      <c r="K270" s="24"/>
      <c r="L270" s="25" t="str">
        <f aca="false">IF(COUNTIF(Заказы!$O$3:$O$29,"&gt;0")=0,"",SUM(M242:M268))</f>
        <v/>
      </c>
      <c r="M270" s="25"/>
    </row>
    <row r="272" customFormat="false" ht="15" hidden="false" customHeight="false" outlineLevel="0" collapsed="false">
      <c r="A272" s="18" t="str">
        <f aca="false">IF(COUNTIF(Заказы!$N$3:$N$29,"&gt;0")=0,"","Подпись отправителя: __________________")</f>
        <v/>
      </c>
      <c r="B272" s="18"/>
      <c r="C272" s="18"/>
      <c r="D272" s="18"/>
      <c r="E272" s="18"/>
      <c r="F272" s="18"/>
      <c r="H272" s="18" t="str">
        <f aca="false">IF(COUNTIF(Заказы!$O$3:$O$29,"&gt;0")=0,"","Подпись отправителя: __________________")</f>
        <v/>
      </c>
      <c r="I272" s="18"/>
      <c r="J272" s="18"/>
      <c r="K272" s="18"/>
      <c r="L272" s="18"/>
      <c r="M272" s="18"/>
    </row>
    <row r="273" customFormat="false" ht="15" hidden="false" customHeight="false" outlineLevel="0" collapsed="false">
      <c r="A273" s="18" t="str">
        <f aca="false">IF(COUNTIF(Заказы!$N$3:$N$29,"&gt;0")=0,"","Подпись получателя: ___________________")</f>
        <v/>
      </c>
      <c r="B273" s="18"/>
      <c r="C273" s="18"/>
      <c r="D273" s="18"/>
      <c r="E273" s="18"/>
      <c r="F273" s="18"/>
      <c r="H273" s="18" t="str">
        <f aca="false">IF(COUNTIF(Заказы!$O$3:$O$29,"&gt;0")=0,"","Подпись получателя: ___________________")</f>
        <v/>
      </c>
      <c r="I273" s="18"/>
      <c r="J273" s="18"/>
      <c r="K273" s="18"/>
      <c r="L273" s="18"/>
      <c r="M273" s="18"/>
    </row>
    <row r="275" customFormat="false" ht="17.35" hidden="false" customHeight="false" outlineLevel="0" collapsed="false">
      <c r="A275" s="17" t="str">
        <f aca="false">IF(COUNTIF(Заказы!$P$3:$P$29,"&gt;0")=0,"","НАКЛАДНАЯ")</f>
        <v/>
      </c>
      <c r="B275" s="17"/>
      <c r="C275" s="17"/>
      <c r="D275" s="17"/>
      <c r="E275" s="17"/>
      <c r="F275" s="17"/>
      <c r="H275" s="17" t="str">
        <f aca="false">IF(COUNTIF(Заказы!$Q$3:$Q$29,"&gt;0")=0,"","НАКЛАДНАЯ")</f>
        <v/>
      </c>
      <c r="I275" s="17"/>
      <c r="J275" s="17"/>
      <c r="K275" s="17"/>
      <c r="L275" s="17"/>
      <c r="M275" s="17"/>
    </row>
    <row r="276" customFormat="false" ht="15" hidden="false" customHeight="false" outlineLevel="0" collapsed="false">
      <c r="A276" s="18" t="str">
        <f aca="false">IF(COUNTIF(Заказы!$P$3:$P$29,"&gt;0")=0,"","Отправитель: Brown кондитерский цех")</f>
        <v/>
      </c>
      <c r="B276" s="18"/>
      <c r="C276" s="18"/>
      <c r="D276" s="18"/>
      <c r="E276" s="18"/>
      <c r="F276" s="18"/>
      <c r="H276" s="18" t="str">
        <f aca="false">IF(COUNTIF(Заказы!$Q$3:$Q$29,"&gt;0")=0,"","Отправитель: Brown кондитерский цех")</f>
        <v/>
      </c>
      <c r="I276" s="18"/>
      <c r="J276" s="18"/>
      <c r="K276" s="18"/>
      <c r="L276" s="18"/>
      <c r="M276" s="18"/>
    </row>
    <row r="277" customFormat="false" ht="15" hidden="false" customHeight="false" outlineLevel="0" collapsed="false">
      <c r="A277" s="18" t="str">
        <f aca="false">IF(COUNTIF(Заказы!$P$3:$P$29,"&gt;0")=0,"","Получатель: "&amp;Заказы!P$2)</f>
        <v/>
      </c>
      <c r="B277" s="18"/>
      <c r="C277" s="18"/>
      <c r="D277" s="18"/>
      <c r="E277" s="18"/>
      <c r="F277" s="18"/>
      <c r="H277" s="18" t="str">
        <f aca="false">IF(COUNTIF(Заказы!$Q$3:$Q$29,"&gt;0")=0,"","Получатель: "&amp;Заказы!Q$2)</f>
        <v/>
      </c>
      <c r="I277" s="18"/>
      <c r="J277" s="18"/>
      <c r="K277" s="18"/>
      <c r="L277" s="18"/>
      <c r="M277" s="18"/>
    </row>
    <row r="278" customFormat="false" ht="15" hidden="false" customHeight="false" outlineLevel="0" collapsed="false">
      <c r="A278" s="19" t="str">
        <f aca="false">IF(COUNTIF(Заказы!$P$3:$P$29,"&gt;0")=0,"","Накладная от: "&amp;TEXT(Заказы!$B$1,"dd.mm.yyyy"))</f>
        <v/>
      </c>
      <c r="B278" s="19"/>
      <c r="C278" s="19"/>
      <c r="D278" s="19"/>
      <c r="E278" s="19"/>
      <c r="F278" s="19"/>
      <c r="H278" s="19" t="str">
        <f aca="false">IF(COUNTIF(Заказы!$Q$3:$Q$29,"&gt;0")=0,"","Накладная от: "&amp;TEXT(Заказы!$B$1,"dd.mm.yyyy"))</f>
        <v/>
      </c>
      <c r="I278" s="19"/>
      <c r="J278" s="19"/>
      <c r="K278" s="19"/>
      <c r="L278" s="19"/>
      <c r="M278" s="19"/>
    </row>
    <row r="280" customFormat="false" ht="15" hidden="false" customHeight="false" outlineLevel="0" collapsed="false">
      <c r="A280" s="4" t="str">
        <f aca="false">IF(COUNTIF(Заказы!$P$3:$P$29,"&gt;0")=0,"","№")</f>
        <v/>
      </c>
      <c r="B280" s="4" t="str">
        <f aca="false">IF(COUNTIF(Заказы!$P$3:$P$29,"&gt;0")=0,"","Наименование")</f>
        <v/>
      </c>
      <c r="C280" s="4" t="str">
        <f aca="false">IF(COUNTIF(Заказы!$P$3:$P$29,"&gt;0")=0,"","Кол.")</f>
        <v/>
      </c>
      <c r="D280" s="4" t="str">
        <f aca="false">IF(COUNTIF(Заказы!$P$3:$P$29,"&gt;0")=0,"","Ед.")</f>
        <v/>
      </c>
      <c r="E280" s="4" t="str">
        <f aca="false">IF(COUNTIF(Заказы!$P$3:$P$29,"&gt;0")=0,"","Цена")</f>
        <v/>
      </c>
      <c r="F280" s="4" t="str">
        <f aca="false">IF(COUNTIF(Заказы!$P$3:$P$29,"&gt;0")=0,"","Сумма")</f>
        <v/>
      </c>
      <c r="H280" s="4" t="str">
        <f aca="false">IF(COUNTIF(Заказы!$Q$3:$Q$29,"&gt;0")=0,"","№")</f>
        <v/>
      </c>
      <c r="I280" s="4" t="str">
        <f aca="false">IF(COUNTIF(Заказы!$Q$3:$Q$29,"&gt;0")=0,"","Наименование")</f>
        <v/>
      </c>
      <c r="J280" s="4" t="str">
        <f aca="false">IF(COUNTIF(Заказы!$Q$3:$Q$29,"&gt;0")=0,"","Кол.")</f>
        <v/>
      </c>
      <c r="K280" s="4" t="str">
        <f aca="false">IF(COUNTIF(Заказы!$Q$3:$Q$29,"&gt;0")=0,"","Ед.")</f>
        <v/>
      </c>
      <c r="L280" s="4" t="str">
        <f aca="false">IF(COUNTIF(Заказы!$Q$3:$Q$29,"&gt;0")=0,"","Цена")</f>
        <v/>
      </c>
      <c r="M280" s="4" t="str">
        <f aca="false">IF(COUNTIF(Заказы!$Q$3:$Q$29,"&gt;0")=0,"","Сумма")</f>
        <v/>
      </c>
    </row>
    <row r="281" customFormat="false" ht="15" hidden="false" customHeight="false" outlineLevel="0" collapsed="false">
      <c r="A281" s="26" t="str">
        <f aca="false">IF(B281="","",1)</f>
        <v/>
      </c>
      <c r="B281" s="21" t="str">
        <f aca="false" t="array" ref="B281:B281">IFERROR(INDEX(Заказы!$A$3:$A$29,SMALL(IF(Заказы!$P$3:$P$29&gt;0,ROW(Заказы!$P$3:$P$29)-ROW(P$3)+1),1)),"")</f>
        <v/>
      </c>
      <c r="C281" s="26" t="str">
        <f aca="false">IF(B281="","",INDEX(Заказы!$P$3:$P$29,MATCH(B281,Заказы!$A$3:$A$29,0)))</f>
        <v/>
      </c>
      <c r="D281" s="26" t="str">
        <f aca="false">IF(B281="","",VLOOKUP(B281,Каталог!$A:$C,2,0))</f>
        <v/>
      </c>
      <c r="E281" s="22" t="str">
        <f aca="false">IF(B281="","",VLOOKUP(B281,Каталог!$A:$C,3,0))</f>
        <v/>
      </c>
      <c r="F281" s="22" t="str">
        <f aca="false">IF(B281="","",C281*E281)</f>
        <v/>
      </c>
      <c r="H281" s="26" t="str">
        <f aca="false">IF(I281="","",1)</f>
        <v/>
      </c>
      <c r="I281" s="21" t="str">
        <f aca="false" t="array" ref="I281:I281">IFERROR(INDEX(Заказы!$A$3:$A$29,SMALL(IF(Заказы!$Q$3:$Q$29&gt;0,ROW(Заказы!$Q$3:$Q$29)-ROW(Q$3)+1),1)),"")</f>
        <v/>
      </c>
      <c r="J281" s="26" t="str">
        <f aca="false">IF(I281="","",INDEX(Заказы!$Q$3:$Q$29,MATCH(I281,Заказы!$A$3:$A$29,0)))</f>
        <v/>
      </c>
      <c r="K281" s="26" t="str">
        <f aca="false">IF(I281="","",VLOOKUP(I281,Каталог!$A:$C,2,0))</f>
        <v/>
      </c>
      <c r="L281" s="22" t="str">
        <f aca="false">IF(I281="","",VLOOKUP(I281,Каталог!$A:$C,3,0))</f>
        <v/>
      </c>
      <c r="M281" s="22" t="str">
        <f aca="false">IF(I281="","",J281*L281)</f>
        <v/>
      </c>
    </row>
    <row r="282" customFormat="false" ht="15" hidden="false" customHeight="false" outlineLevel="0" collapsed="false">
      <c r="A282" s="26" t="str">
        <f aca="false">IF(B282="","",2)</f>
        <v/>
      </c>
      <c r="B282" s="21" t="str">
        <f aca="false" t="array" ref="B282:B282">IFERROR(INDEX(Заказы!$A$3:$A$29,SMALL(IF(Заказы!$P$3:$P$29&gt;0,ROW(Заказы!$P$3:$P$29)-ROW(P$3)+1),2)),"")</f>
        <v/>
      </c>
      <c r="C282" s="26" t="str">
        <f aca="false">IF(B282="","",INDEX(Заказы!$P$3:$P$29,MATCH(B282,Заказы!$A$3:$A$29,0)))</f>
        <v/>
      </c>
      <c r="D282" s="26" t="str">
        <f aca="false">IF(B282="","",VLOOKUP(B282,Каталог!$A:$C,2,0))</f>
        <v/>
      </c>
      <c r="E282" s="22" t="str">
        <f aca="false">IF(B282="","",VLOOKUP(B282,Каталог!$A:$C,3,0))</f>
        <v/>
      </c>
      <c r="F282" s="22" t="str">
        <f aca="false">IF(B282="","",C282*E282)</f>
        <v/>
      </c>
      <c r="H282" s="26" t="str">
        <f aca="false">IF(I282="","",2)</f>
        <v/>
      </c>
      <c r="I282" s="21" t="str">
        <f aca="false" t="array" ref="I282:I282">IFERROR(INDEX(Заказы!$A$3:$A$29,SMALL(IF(Заказы!$Q$3:$Q$29&gt;0,ROW(Заказы!$Q$3:$Q$29)-ROW(Q$3)+1),2)),"")</f>
        <v/>
      </c>
      <c r="J282" s="26" t="str">
        <f aca="false">IF(I282="","",INDEX(Заказы!$Q$3:$Q$29,MATCH(I282,Заказы!$A$3:$A$29,0)))</f>
        <v/>
      </c>
      <c r="K282" s="26" t="str">
        <f aca="false">IF(I282="","",VLOOKUP(I282,Каталог!$A:$C,2,0))</f>
        <v/>
      </c>
      <c r="L282" s="22" t="str">
        <f aca="false">IF(I282="","",VLOOKUP(I282,Каталог!$A:$C,3,0))</f>
        <v/>
      </c>
      <c r="M282" s="22" t="str">
        <f aca="false">IF(I282="","",J282*L282)</f>
        <v/>
      </c>
    </row>
    <row r="283" customFormat="false" ht="15" hidden="false" customHeight="false" outlineLevel="0" collapsed="false">
      <c r="A283" s="26" t="str">
        <f aca="false">IF(B283="","",3)</f>
        <v/>
      </c>
      <c r="B283" s="21" t="str">
        <f aca="false" t="array" ref="B283:B283">IFERROR(INDEX(Заказы!$A$3:$A$29,SMALL(IF(Заказы!$P$3:$P$29&gt;0,ROW(Заказы!$P$3:$P$29)-ROW(P$3)+1),3)),"")</f>
        <v/>
      </c>
      <c r="C283" s="26" t="str">
        <f aca="false">IF(B283="","",INDEX(Заказы!$P$3:$P$29,MATCH(B283,Заказы!$A$3:$A$29,0)))</f>
        <v/>
      </c>
      <c r="D283" s="26" t="str">
        <f aca="false">IF(B283="","",VLOOKUP(B283,Каталог!$A:$C,2,0))</f>
        <v/>
      </c>
      <c r="E283" s="22" t="str">
        <f aca="false">IF(B283="","",VLOOKUP(B283,Каталог!$A:$C,3,0))</f>
        <v/>
      </c>
      <c r="F283" s="22" t="str">
        <f aca="false">IF(B283="","",C283*E283)</f>
        <v/>
      </c>
      <c r="H283" s="26" t="str">
        <f aca="false">IF(I283="","",3)</f>
        <v/>
      </c>
      <c r="I283" s="21" t="str">
        <f aca="false" t="array" ref="I283:I283">IFERROR(INDEX(Заказы!$A$3:$A$29,SMALL(IF(Заказы!$Q$3:$Q$29&gt;0,ROW(Заказы!$Q$3:$Q$29)-ROW(Q$3)+1),3)),"")</f>
        <v/>
      </c>
      <c r="J283" s="26" t="str">
        <f aca="false">IF(I283="","",INDEX(Заказы!$Q$3:$Q$29,MATCH(I283,Заказы!$A$3:$A$29,0)))</f>
        <v/>
      </c>
      <c r="K283" s="26" t="str">
        <f aca="false">IF(I283="","",VLOOKUP(I283,Каталог!$A:$C,2,0))</f>
        <v/>
      </c>
      <c r="L283" s="22" t="str">
        <f aca="false">IF(I283="","",VLOOKUP(I283,Каталог!$A:$C,3,0))</f>
        <v/>
      </c>
      <c r="M283" s="22" t="str">
        <f aca="false">IF(I283="","",J283*L283)</f>
        <v/>
      </c>
    </row>
    <row r="284" customFormat="false" ht="15" hidden="false" customHeight="false" outlineLevel="0" collapsed="false">
      <c r="A284" s="26" t="str">
        <f aca="false">IF(B284="","",4)</f>
        <v/>
      </c>
      <c r="B284" s="21" t="str">
        <f aca="false" t="array" ref="B284:B284">IFERROR(INDEX(Заказы!$A$3:$A$29,SMALL(IF(Заказы!$P$3:$P$29&gt;0,ROW(Заказы!$P$3:$P$29)-ROW(P$3)+1),4)),"")</f>
        <v/>
      </c>
      <c r="C284" s="26" t="str">
        <f aca="false">IF(B284="","",INDEX(Заказы!$P$3:$P$29,MATCH(B284,Заказы!$A$3:$A$29,0)))</f>
        <v/>
      </c>
      <c r="D284" s="26" t="str">
        <f aca="false">IF(B284="","",VLOOKUP(B284,Каталог!$A:$C,2,0))</f>
        <v/>
      </c>
      <c r="E284" s="22" t="str">
        <f aca="false">IF(B284="","",VLOOKUP(B284,Каталог!$A:$C,3,0))</f>
        <v/>
      </c>
      <c r="F284" s="22" t="str">
        <f aca="false">IF(B284="","",C284*E284)</f>
        <v/>
      </c>
      <c r="H284" s="26" t="str">
        <f aca="false">IF(I284="","",4)</f>
        <v/>
      </c>
      <c r="I284" s="21" t="str">
        <f aca="false" t="array" ref="I284:I284">IFERROR(INDEX(Заказы!$A$3:$A$29,SMALL(IF(Заказы!$Q$3:$Q$29&gt;0,ROW(Заказы!$Q$3:$Q$29)-ROW(Q$3)+1),4)),"")</f>
        <v/>
      </c>
      <c r="J284" s="26" t="str">
        <f aca="false">IF(I284="","",INDEX(Заказы!$Q$3:$Q$29,MATCH(I284,Заказы!$A$3:$A$29,0)))</f>
        <v/>
      </c>
      <c r="K284" s="26" t="str">
        <f aca="false">IF(I284="","",VLOOKUP(I284,Каталог!$A:$C,2,0))</f>
        <v/>
      </c>
      <c r="L284" s="22" t="str">
        <f aca="false">IF(I284="","",VLOOKUP(I284,Каталог!$A:$C,3,0))</f>
        <v/>
      </c>
      <c r="M284" s="22" t="str">
        <f aca="false">IF(I284="","",J284*L284)</f>
        <v/>
      </c>
    </row>
    <row r="285" customFormat="false" ht="15" hidden="false" customHeight="false" outlineLevel="0" collapsed="false">
      <c r="A285" s="26" t="str">
        <f aca="false">IF(B285="","",5)</f>
        <v/>
      </c>
      <c r="B285" s="21" t="str">
        <f aca="false" t="array" ref="B285:B285">IFERROR(INDEX(Заказы!$A$3:$A$29,SMALL(IF(Заказы!$P$3:$P$29&gt;0,ROW(Заказы!$P$3:$P$29)-ROW(P$3)+1),5)),"")</f>
        <v/>
      </c>
      <c r="C285" s="26" t="str">
        <f aca="false">IF(B285="","",INDEX(Заказы!$P$3:$P$29,MATCH(B285,Заказы!$A$3:$A$29,0)))</f>
        <v/>
      </c>
      <c r="D285" s="26" t="str">
        <f aca="false">IF(B285="","",VLOOKUP(B285,Каталог!$A:$C,2,0))</f>
        <v/>
      </c>
      <c r="E285" s="22" t="str">
        <f aca="false">IF(B285="","",VLOOKUP(B285,Каталог!$A:$C,3,0))</f>
        <v/>
      </c>
      <c r="F285" s="22" t="str">
        <f aca="false">IF(B285="","",C285*E285)</f>
        <v/>
      </c>
      <c r="H285" s="26" t="str">
        <f aca="false">IF(I285="","",5)</f>
        <v/>
      </c>
      <c r="I285" s="21" t="str">
        <f aca="false" t="array" ref="I285:I285">IFERROR(INDEX(Заказы!$A$3:$A$29,SMALL(IF(Заказы!$Q$3:$Q$29&gt;0,ROW(Заказы!$Q$3:$Q$29)-ROW(Q$3)+1),5)),"")</f>
        <v/>
      </c>
      <c r="J285" s="26" t="str">
        <f aca="false">IF(I285="","",INDEX(Заказы!$Q$3:$Q$29,MATCH(I285,Заказы!$A$3:$A$29,0)))</f>
        <v/>
      </c>
      <c r="K285" s="26" t="str">
        <f aca="false">IF(I285="","",VLOOKUP(I285,Каталог!$A:$C,2,0))</f>
        <v/>
      </c>
      <c r="L285" s="22" t="str">
        <f aca="false">IF(I285="","",VLOOKUP(I285,Каталог!$A:$C,3,0))</f>
        <v/>
      </c>
      <c r="M285" s="22" t="str">
        <f aca="false">IF(I285="","",J285*L285)</f>
        <v/>
      </c>
    </row>
    <row r="286" customFormat="false" ht="15" hidden="false" customHeight="false" outlineLevel="0" collapsed="false">
      <c r="A286" s="26" t="str">
        <f aca="false">IF(B286="","",6)</f>
        <v/>
      </c>
      <c r="B286" s="21" t="str">
        <f aca="false" t="array" ref="B286:B286">IFERROR(INDEX(Заказы!$A$3:$A$29,SMALL(IF(Заказы!$P$3:$P$29&gt;0,ROW(Заказы!$P$3:$P$29)-ROW(P$3)+1),6)),"")</f>
        <v/>
      </c>
      <c r="C286" s="26" t="str">
        <f aca="false">IF(B286="","",INDEX(Заказы!$P$3:$P$29,MATCH(B286,Заказы!$A$3:$A$29,0)))</f>
        <v/>
      </c>
      <c r="D286" s="26" t="str">
        <f aca="false">IF(B286="","",VLOOKUP(B286,Каталог!$A:$C,2,0))</f>
        <v/>
      </c>
      <c r="E286" s="22" t="str">
        <f aca="false">IF(B286="","",VLOOKUP(B286,Каталог!$A:$C,3,0))</f>
        <v/>
      </c>
      <c r="F286" s="22" t="str">
        <f aca="false">IF(B286="","",C286*E286)</f>
        <v/>
      </c>
      <c r="H286" s="26" t="str">
        <f aca="false">IF(I286="","",6)</f>
        <v/>
      </c>
      <c r="I286" s="21" t="str">
        <f aca="false" t="array" ref="I286:I286">IFERROR(INDEX(Заказы!$A$3:$A$29,SMALL(IF(Заказы!$Q$3:$Q$29&gt;0,ROW(Заказы!$Q$3:$Q$29)-ROW(Q$3)+1),6)),"")</f>
        <v/>
      </c>
      <c r="J286" s="26" t="str">
        <f aca="false">IF(I286="","",INDEX(Заказы!$Q$3:$Q$29,MATCH(I286,Заказы!$A$3:$A$29,0)))</f>
        <v/>
      </c>
      <c r="K286" s="26" t="str">
        <f aca="false">IF(I286="","",VLOOKUP(I286,Каталог!$A:$C,2,0))</f>
        <v/>
      </c>
      <c r="L286" s="22" t="str">
        <f aca="false">IF(I286="","",VLOOKUP(I286,Каталог!$A:$C,3,0))</f>
        <v/>
      </c>
      <c r="M286" s="22" t="str">
        <f aca="false">IF(I286="","",J286*L286)</f>
        <v/>
      </c>
    </row>
    <row r="287" customFormat="false" ht="15" hidden="false" customHeight="false" outlineLevel="0" collapsed="false">
      <c r="A287" s="26" t="str">
        <f aca="false">IF(B287="","",7)</f>
        <v/>
      </c>
      <c r="B287" s="21" t="str">
        <f aca="false" t="array" ref="B287:B287">IFERROR(INDEX(Заказы!$A$3:$A$29,SMALL(IF(Заказы!$P$3:$P$29&gt;0,ROW(Заказы!$P$3:$P$29)-ROW(P$3)+1),7)),"")</f>
        <v/>
      </c>
      <c r="C287" s="26" t="str">
        <f aca="false">IF(B287="","",INDEX(Заказы!$P$3:$P$29,MATCH(B287,Заказы!$A$3:$A$29,0)))</f>
        <v/>
      </c>
      <c r="D287" s="26" t="str">
        <f aca="false">IF(B287="","",VLOOKUP(B287,Каталог!$A:$C,2,0))</f>
        <v/>
      </c>
      <c r="E287" s="22" t="str">
        <f aca="false">IF(B287="","",VLOOKUP(B287,Каталог!$A:$C,3,0))</f>
        <v/>
      </c>
      <c r="F287" s="22" t="str">
        <f aca="false">IF(B287="","",C287*E287)</f>
        <v/>
      </c>
      <c r="H287" s="26" t="str">
        <f aca="false">IF(I287="","",7)</f>
        <v/>
      </c>
      <c r="I287" s="21" t="str">
        <f aca="false" t="array" ref="I287:I287">IFERROR(INDEX(Заказы!$A$3:$A$29,SMALL(IF(Заказы!$Q$3:$Q$29&gt;0,ROW(Заказы!$Q$3:$Q$29)-ROW(Q$3)+1),7)),"")</f>
        <v/>
      </c>
      <c r="J287" s="26" t="str">
        <f aca="false">IF(I287="","",INDEX(Заказы!$Q$3:$Q$29,MATCH(I287,Заказы!$A$3:$A$29,0)))</f>
        <v/>
      </c>
      <c r="K287" s="26" t="str">
        <f aca="false">IF(I287="","",VLOOKUP(I287,Каталог!$A:$C,2,0))</f>
        <v/>
      </c>
      <c r="L287" s="22" t="str">
        <f aca="false">IF(I287="","",VLOOKUP(I287,Каталог!$A:$C,3,0))</f>
        <v/>
      </c>
      <c r="M287" s="22" t="str">
        <f aca="false">IF(I287="","",J287*L287)</f>
        <v/>
      </c>
    </row>
    <row r="288" customFormat="false" ht="15" hidden="false" customHeight="false" outlineLevel="0" collapsed="false">
      <c r="A288" s="26" t="str">
        <f aca="false">IF(B288="","",8)</f>
        <v/>
      </c>
      <c r="B288" s="21" t="str">
        <f aca="false" t="array" ref="B288:B288">IFERROR(INDEX(Заказы!$A$3:$A$29,SMALL(IF(Заказы!$P$3:$P$29&gt;0,ROW(Заказы!$P$3:$P$29)-ROW(P$3)+1),8)),"")</f>
        <v/>
      </c>
      <c r="C288" s="26" t="str">
        <f aca="false">IF(B288="","",INDEX(Заказы!$P$3:$P$29,MATCH(B288,Заказы!$A$3:$A$29,0)))</f>
        <v/>
      </c>
      <c r="D288" s="26" t="str">
        <f aca="false">IF(B288="","",VLOOKUP(B288,Каталог!$A:$C,2,0))</f>
        <v/>
      </c>
      <c r="E288" s="22" t="str">
        <f aca="false">IF(B288="","",VLOOKUP(B288,Каталог!$A:$C,3,0))</f>
        <v/>
      </c>
      <c r="F288" s="22" t="str">
        <f aca="false">IF(B288="","",C288*E288)</f>
        <v/>
      </c>
      <c r="H288" s="26" t="str">
        <f aca="false">IF(I288="","",8)</f>
        <v/>
      </c>
      <c r="I288" s="21" t="str">
        <f aca="false" t="array" ref="I288:I288">IFERROR(INDEX(Заказы!$A$3:$A$29,SMALL(IF(Заказы!$Q$3:$Q$29&gt;0,ROW(Заказы!$Q$3:$Q$29)-ROW(Q$3)+1),8)),"")</f>
        <v/>
      </c>
      <c r="J288" s="26" t="str">
        <f aca="false">IF(I288="","",INDEX(Заказы!$Q$3:$Q$29,MATCH(I288,Заказы!$A$3:$A$29,0)))</f>
        <v/>
      </c>
      <c r="K288" s="26" t="str">
        <f aca="false">IF(I288="","",VLOOKUP(I288,Каталог!$A:$C,2,0))</f>
        <v/>
      </c>
      <c r="L288" s="22" t="str">
        <f aca="false">IF(I288="","",VLOOKUP(I288,Каталог!$A:$C,3,0))</f>
        <v/>
      </c>
      <c r="M288" s="22" t="str">
        <f aca="false">IF(I288="","",J288*L288)</f>
        <v/>
      </c>
    </row>
    <row r="289" customFormat="false" ht="15" hidden="false" customHeight="false" outlineLevel="0" collapsed="false">
      <c r="A289" s="26" t="str">
        <f aca="false">IF(B289="","",9)</f>
        <v/>
      </c>
      <c r="B289" s="21" t="str">
        <f aca="false" t="array" ref="B289:B289">IFERROR(INDEX(Заказы!$A$3:$A$29,SMALL(IF(Заказы!$P$3:$P$29&gt;0,ROW(Заказы!$P$3:$P$29)-ROW(P$3)+1),9)),"")</f>
        <v/>
      </c>
      <c r="C289" s="26" t="str">
        <f aca="false">IF(B289="","",INDEX(Заказы!$P$3:$P$29,MATCH(B289,Заказы!$A$3:$A$29,0)))</f>
        <v/>
      </c>
      <c r="D289" s="26" t="str">
        <f aca="false">IF(B289="","",VLOOKUP(B289,Каталог!$A:$C,2,0))</f>
        <v/>
      </c>
      <c r="E289" s="22" t="str">
        <f aca="false">IF(B289="","",VLOOKUP(B289,Каталог!$A:$C,3,0))</f>
        <v/>
      </c>
      <c r="F289" s="22" t="str">
        <f aca="false">IF(B289="","",C289*E289)</f>
        <v/>
      </c>
      <c r="H289" s="26" t="str">
        <f aca="false">IF(I289="","",9)</f>
        <v/>
      </c>
      <c r="I289" s="21" t="str">
        <f aca="false" t="array" ref="I289:I289">IFERROR(INDEX(Заказы!$A$3:$A$29,SMALL(IF(Заказы!$Q$3:$Q$29&gt;0,ROW(Заказы!$Q$3:$Q$29)-ROW(Q$3)+1),9)),"")</f>
        <v/>
      </c>
      <c r="J289" s="26" t="str">
        <f aca="false">IF(I289="","",INDEX(Заказы!$Q$3:$Q$29,MATCH(I289,Заказы!$A$3:$A$29,0)))</f>
        <v/>
      </c>
      <c r="K289" s="26" t="str">
        <f aca="false">IF(I289="","",VLOOKUP(I289,Каталог!$A:$C,2,0))</f>
        <v/>
      </c>
      <c r="L289" s="22" t="str">
        <f aca="false">IF(I289="","",VLOOKUP(I289,Каталог!$A:$C,3,0))</f>
        <v/>
      </c>
      <c r="M289" s="22" t="str">
        <f aca="false">IF(I289="","",J289*L289)</f>
        <v/>
      </c>
    </row>
    <row r="290" customFormat="false" ht="15" hidden="false" customHeight="false" outlineLevel="0" collapsed="false">
      <c r="A290" s="26" t="str">
        <f aca="false">IF(B290="","",10)</f>
        <v/>
      </c>
      <c r="B290" s="21" t="str">
        <f aca="false" t="array" ref="B290:B290">IFERROR(INDEX(Заказы!$A$3:$A$29,SMALL(IF(Заказы!$P$3:$P$29&gt;0,ROW(Заказы!$P$3:$P$29)-ROW(P$3)+1),10)),"")</f>
        <v/>
      </c>
      <c r="C290" s="26" t="str">
        <f aca="false">IF(B290="","",INDEX(Заказы!$P$3:$P$29,MATCH(B290,Заказы!$A$3:$A$29,0)))</f>
        <v/>
      </c>
      <c r="D290" s="26" t="str">
        <f aca="false">IF(B290="","",VLOOKUP(B290,Каталог!$A:$C,2,0))</f>
        <v/>
      </c>
      <c r="E290" s="22" t="str">
        <f aca="false">IF(B290="","",VLOOKUP(B290,Каталог!$A:$C,3,0))</f>
        <v/>
      </c>
      <c r="F290" s="22" t="str">
        <f aca="false">IF(B290="","",C290*E290)</f>
        <v/>
      </c>
      <c r="H290" s="26" t="str">
        <f aca="false">IF(I290="","",10)</f>
        <v/>
      </c>
      <c r="I290" s="21" t="str">
        <f aca="false" t="array" ref="I290:I290">IFERROR(INDEX(Заказы!$A$3:$A$29,SMALL(IF(Заказы!$Q$3:$Q$29&gt;0,ROW(Заказы!$Q$3:$Q$29)-ROW(Q$3)+1),10)),"")</f>
        <v/>
      </c>
      <c r="J290" s="26" t="str">
        <f aca="false">IF(I290="","",INDEX(Заказы!$Q$3:$Q$29,MATCH(I290,Заказы!$A$3:$A$29,0)))</f>
        <v/>
      </c>
      <c r="K290" s="26" t="str">
        <f aca="false">IF(I290="","",VLOOKUP(I290,Каталог!$A:$C,2,0))</f>
        <v/>
      </c>
      <c r="L290" s="22" t="str">
        <f aca="false">IF(I290="","",VLOOKUP(I290,Каталог!$A:$C,3,0))</f>
        <v/>
      </c>
      <c r="M290" s="22" t="str">
        <f aca="false">IF(I290="","",J290*L290)</f>
        <v/>
      </c>
    </row>
    <row r="291" customFormat="false" ht="15" hidden="false" customHeight="false" outlineLevel="0" collapsed="false">
      <c r="A291" s="26" t="str">
        <f aca="false">IF(B291="","",11)</f>
        <v/>
      </c>
      <c r="B291" s="21" t="str">
        <f aca="false" t="array" ref="B291:B291">IFERROR(INDEX(Заказы!$A$3:$A$29,SMALL(IF(Заказы!$P$3:$P$29&gt;0,ROW(Заказы!$P$3:$P$29)-ROW(P$3)+1),11)),"")</f>
        <v/>
      </c>
      <c r="C291" s="26" t="str">
        <f aca="false">IF(B291="","",INDEX(Заказы!$P$3:$P$29,MATCH(B291,Заказы!$A$3:$A$29,0)))</f>
        <v/>
      </c>
      <c r="D291" s="26" t="str">
        <f aca="false">IF(B291="","",VLOOKUP(B291,Каталог!$A:$C,2,0))</f>
        <v/>
      </c>
      <c r="E291" s="22" t="str">
        <f aca="false">IF(B291="","",VLOOKUP(B291,Каталог!$A:$C,3,0))</f>
        <v/>
      </c>
      <c r="F291" s="22" t="str">
        <f aca="false">IF(B291="","",C291*E291)</f>
        <v/>
      </c>
      <c r="H291" s="26" t="str">
        <f aca="false">IF(I291="","",11)</f>
        <v/>
      </c>
      <c r="I291" s="21" t="str">
        <f aca="false" t="array" ref="I291:I291">IFERROR(INDEX(Заказы!$A$3:$A$29,SMALL(IF(Заказы!$Q$3:$Q$29&gt;0,ROW(Заказы!$Q$3:$Q$29)-ROW(Q$3)+1),11)),"")</f>
        <v/>
      </c>
      <c r="J291" s="26" t="str">
        <f aca="false">IF(I291="","",INDEX(Заказы!$Q$3:$Q$29,MATCH(I291,Заказы!$A$3:$A$29,0)))</f>
        <v/>
      </c>
      <c r="K291" s="26" t="str">
        <f aca="false">IF(I291="","",VLOOKUP(I291,Каталог!$A:$C,2,0))</f>
        <v/>
      </c>
      <c r="L291" s="22" t="str">
        <f aca="false">IF(I291="","",VLOOKUP(I291,Каталог!$A:$C,3,0))</f>
        <v/>
      </c>
      <c r="M291" s="22" t="str">
        <f aca="false">IF(I291="","",J291*L291)</f>
        <v/>
      </c>
    </row>
    <row r="292" customFormat="false" ht="15" hidden="false" customHeight="false" outlineLevel="0" collapsed="false">
      <c r="A292" s="26" t="str">
        <f aca="false">IF(B292="","",12)</f>
        <v/>
      </c>
      <c r="B292" s="21" t="str">
        <f aca="false" t="array" ref="B292:B292">IFERROR(INDEX(Заказы!$A$3:$A$29,SMALL(IF(Заказы!$P$3:$P$29&gt;0,ROW(Заказы!$P$3:$P$29)-ROW(P$3)+1),12)),"")</f>
        <v/>
      </c>
      <c r="C292" s="26" t="str">
        <f aca="false">IF(B292="","",INDEX(Заказы!$P$3:$P$29,MATCH(B292,Заказы!$A$3:$A$29,0)))</f>
        <v/>
      </c>
      <c r="D292" s="26" t="str">
        <f aca="false">IF(B292="","",VLOOKUP(B292,Каталог!$A:$C,2,0))</f>
        <v/>
      </c>
      <c r="E292" s="22" t="str">
        <f aca="false">IF(B292="","",VLOOKUP(B292,Каталог!$A:$C,3,0))</f>
        <v/>
      </c>
      <c r="F292" s="22" t="str">
        <f aca="false">IF(B292="","",C292*E292)</f>
        <v/>
      </c>
      <c r="H292" s="26" t="str">
        <f aca="false">IF(I292="","",12)</f>
        <v/>
      </c>
      <c r="I292" s="21" t="str">
        <f aca="false" t="array" ref="I292:I292">IFERROR(INDEX(Заказы!$A$3:$A$29,SMALL(IF(Заказы!$Q$3:$Q$29&gt;0,ROW(Заказы!$Q$3:$Q$29)-ROW(Q$3)+1),12)),"")</f>
        <v/>
      </c>
      <c r="J292" s="26" t="str">
        <f aca="false">IF(I292="","",INDEX(Заказы!$Q$3:$Q$29,MATCH(I292,Заказы!$A$3:$A$29,0)))</f>
        <v/>
      </c>
      <c r="K292" s="26" t="str">
        <f aca="false">IF(I292="","",VLOOKUP(I292,Каталог!$A:$C,2,0))</f>
        <v/>
      </c>
      <c r="L292" s="22" t="str">
        <f aca="false">IF(I292="","",VLOOKUP(I292,Каталог!$A:$C,3,0))</f>
        <v/>
      </c>
      <c r="M292" s="22" t="str">
        <f aca="false">IF(I292="","",J292*L292)</f>
        <v/>
      </c>
    </row>
    <row r="293" customFormat="false" ht="15" hidden="false" customHeight="false" outlineLevel="0" collapsed="false">
      <c r="A293" s="26" t="str">
        <f aca="false">IF(B293="","",13)</f>
        <v/>
      </c>
      <c r="B293" s="21" t="str">
        <f aca="false" t="array" ref="B293:B293">IFERROR(INDEX(Заказы!$A$3:$A$29,SMALL(IF(Заказы!$P$3:$P$29&gt;0,ROW(Заказы!$P$3:$P$29)-ROW(P$3)+1),13)),"")</f>
        <v/>
      </c>
      <c r="C293" s="26" t="str">
        <f aca="false">IF(B293="","",INDEX(Заказы!$P$3:$P$29,MATCH(B293,Заказы!$A$3:$A$29,0)))</f>
        <v/>
      </c>
      <c r="D293" s="26" t="str">
        <f aca="false">IF(B293="","",VLOOKUP(B293,Каталог!$A:$C,2,0))</f>
        <v/>
      </c>
      <c r="E293" s="22" t="str">
        <f aca="false">IF(B293="","",VLOOKUP(B293,Каталог!$A:$C,3,0))</f>
        <v/>
      </c>
      <c r="F293" s="22" t="str">
        <f aca="false">IF(B293="","",C293*E293)</f>
        <v/>
      </c>
      <c r="H293" s="26" t="str">
        <f aca="false">IF(I293="","",13)</f>
        <v/>
      </c>
      <c r="I293" s="21" t="str">
        <f aca="false" t="array" ref="I293:I293">IFERROR(INDEX(Заказы!$A$3:$A$29,SMALL(IF(Заказы!$Q$3:$Q$29&gt;0,ROW(Заказы!$Q$3:$Q$29)-ROW(Q$3)+1),13)),"")</f>
        <v/>
      </c>
      <c r="J293" s="26" t="str">
        <f aca="false">IF(I293="","",INDEX(Заказы!$Q$3:$Q$29,MATCH(I293,Заказы!$A$3:$A$29,0)))</f>
        <v/>
      </c>
      <c r="K293" s="26" t="str">
        <f aca="false">IF(I293="","",VLOOKUP(I293,Каталог!$A:$C,2,0))</f>
        <v/>
      </c>
      <c r="L293" s="22" t="str">
        <f aca="false">IF(I293="","",VLOOKUP(I293,Каталог!$A:$C,3,0))</f>
        <v/>
      </c>
      <c r="M293" s="22" t="str">
        <f aca="false">IF(I293="","",J293*L293)</f>
        <v/>
      </c>
    </row>
    <row r="294" customFormat="false" ht="15" hidden="false" customHeight="false" outlineLevel="0" collapsed="false">
      <c r="A294" s="26" t="str">
        <f aca="false">IF(B294="","",14)</f>
        <v/>
      </c>
      <c r="B294" s="21" t="str">
        <f aca="false" t="array" ref="B294:B294">IFERROR(INDEX(Заказы!$A$3:$A$29,SMALL(IF(Заказы!$P$3:$P$29&gt;0,ROW(Заказы!$P$3:$P$29)-ROW(P$3)+1),14)),"")</f>
        <v/>
      </c>
      <c r="C294" s="26" t="str">
        <f aca="false">IF(B294="","",INDEX(Заказы!$P$3:$P$29,MATCH(B294,Заказы!$A$3:$A$29,0)))</f>
        <v/>
      </c>
      <c r="D294" s="26" t="str">
        <f aca="false">IF(B294="","",VLOOKUP(B294,Каталог!$A:$C,2,0))</f>
        <v/>
      </c>
      <c r="E294" s="22" t="str">
        <f aca="false">IF(B294="","",VLOOKUP(B294,Каталог!$A:$C,3,0))</f>
        <v/>
      </c>
      <c r="F294" s="22" t="str">
        <f aca="false">IF(B294="","",C294*E294)</f>
        <v/>
      </c>
      <c r="H294" s="26" t="str">
        <f aca="false">IF(I294="","",14)</f>
        <v/>
      </c>
      <c r="I294" s="21" t="str">
        <f aca="false" t="array" ref="I294:I294">IFERROR(INDEX(Заказы!$A$3:$A$29,SMALL(IF(Заказы!$Q$3:$Q$29&gt;0,ROW(Заказы!$Q$3:$Q$29)-ROW(Q$3)+1),14)),"")</f>
        <v/>
      </c>
      <c r="J294" s="26" t="str">
        <f aca="false">IF(I294="","",INDEX(Заказы!$Q$3:$Q$29,MATCH(I294,Заказы!$A$3:$A$29,0)))</f>
        <v/>
      </c>
      <c r="K294" s="26" t="str">
        <f aca="false">IF(I294="","",VLOOKUP(I294,Каталог!$A:$C,2,0))</f>
        <v/>
      </c>
      <c r="L294" s="22" t="str">
        <f aca="false">IF(I294="","",VLOOKUP(I294,Каталог!$A:$C,3,0))</f>
        <v/>
      </c>
      <c r="M294" s="22" t="str">
        <f aca="false">IF(I294="","",J294*L294)</f>
        <v/>
      </c>
    </row>
    <row r="295" customFormat="false" ht="15" hidden="false" customHeight="false" outlineLevel="0" collapsed="false">
      <c r="A295" s="26" t="str">
        <f aca="false">IF(B295="","",15)</f>
        <v/>
      </c>
      <c r="B295" s="21" t="str">
        <f aca="false" t="array" ref="B295:B295">IFERROR(INDEX(Заказы!$A$3:$A$29,SMALL(IF(Заказы!$P$3:$P$29&gt;0,ROW(Заказы!$P$3:$P$29)-ROW(P$3)+1),15)),"")</f>
        <v/>
      </c>
      <c r="C295" s="26" t="str">
        <f aca="false">IF(B295="","",INDEX(Заказы!$P$3:$P$29,MATCH(B295,Заказы!$A$3:$A$29,0)))</f>
        <v/>
      </c>
      <c r="D295" s="26" t="str">
        <f aca="false">IF(B295="","",VLOOKUP(B295,Каталог!$A:$C,2,0))</f>
        <v/>
      </c>
      <c r="E295" s="22" t="str">
        <f aca="false">IF(B295="","",VLOOKUP(B295,Каталог!$A:$C,3,0))</f>
        <v/>
      </c>
      <c r="F295" s="22" t="str">
        <f aca="false">IF(B295="","",C295*E295)</f>
        <v/>
      </c>
      <c r="H295" s="26" t="str">
        <f aca="false">IF(I295="","",15)</f>
        <v/>
      </c>
      <c r="I295" s="21" t="str">
        <f aca="false" t="array" ref="I295:I295">IFERROR(INDEX(Заказы!$A$3:$A$29,SMALL(IF(Заказы!$Q$3:$Q$29&gt;0,ROW(Заказы!$Q$3:$Q$29)-ROW(Q$3)+1),15)),"")</f>
        <v/>
      </c>
      <c r="J295" s="26" t="str">
        <f aca="false">IF(I295="","",INDEX(Заказы!$Q$3:$Q$29,MATCH(I295,Заказы!$A$3:$A$29,0)))</f>
        <v/>
      </c>
      <c r="K295" s="26" t="str">
        <f aca="false">IF(I295="","",VLOOKUP(I295,Каталог!$A:$C,2,0))</f>
        <v/>
      </c>
      <c r="L295" s="22" t="str">
        <f aca="false">IF(I295="","",VLOOKUP(I295,Каталог!$A:$C,3,0))</f>
        <v/>
      </c>
      <c r="M295" s="22" t="str">
        <f aca="false">IF(I295="","",J295*L295)</f>
        <v/>
      </c>
    </row>
    <row r="296" customFormat="false" ht="15" hidden="false" customHeight="false" outlineLevel="0" collapsed="false">
      <c r="A296" s="26" t="str">
        <f aca="false">IF(B296="","",16)</f>
        <v/>
      </c>
      <c r="B296" s="21" t="str">
        <f aca="false" t="array" ref="B296:B296">IFERROR(INDEX(Заказы!$A$3:$A$29,SMALL(IF(Заказы!$P$3:$P$29&gt;0,ROW(Заказы!$P$3:$P$29)-ROW(P$3)+1),16)),"")</f>
        <v/>
      </c>
      <c r="C296" s="26" t="str">
        <f aca="false">IF(B296="","",INDEX(Заказы!$P$3:$P$29,MATCH(B296,Заказы!$A$3:$A$29,0)))</f>
        <v/>
      </c>
      <c r="D296" s="26" t="str">
        <f aca="false">IF(B296="","",VLOOKUP(B296,Каталог!$A:$C,2,0))</f>
        <v/>
      </c>
      <c r="E296" s="22" t="str">
        <f aca="false">IF(B296="","",VLOOKUP(B296,Каталог!$A:$C,3,0))</f>
        <v/>
      </c>
      <c r="F296" s="22" t="str">
        <f aca="false">IF(B296="","",C296*E296)</f>
        <v/>
      </c>
      <c r="H296" s="26" t="str">
        <f aca="false">IF(I296="","",16)</f>
        <v/>
      </c>
      <c r="I296" s="21" t="str">
        <f aca="false" t="array" ref="I296:I296">IFERROR(INDEX(Заказы!$A$3:$A$29,SMALL(IF(Заказы!$Q$3:$Q$29&gt;0,ROW(Заказы!$Q$3:$Q$29)-ROW(Q$3)+1),16)),"")</f>
        <v/>
      </c>
      <c r="J296" s="26" t="str">
        <f aca="false">IF(I296="","",INDEX(Заказы!$Q$3:$Q$29,MATCH(I296,Заказы!$A$3:$A$29,0)))</f>
        <v/>
      </c>
      <c r="K296" s="26" t="str">
        <f aca="false">IF(I296="","",VLOOKUP(I296,Каталог!$A:$C,2,0))</f>
        <v/>
      </c>
      <c r="L296" s="22" t="str">
        <f aca="false">IF(I296="","",VLOOKUP(I296,Каталог!$A:$C,3,0))</f>
        <v/>
      </c>
      <c r="M296" s="22" t="str">
        <f aca="false">IF(I296="","",J296*L296)</f>
        <v/>
      </c>
    </row>
    <row r="297" customFormat="false" ht="15" hidden="false" customHeight="false" outlineLevel="0" collapsed="false">
      <c r="A297" s="26" t="str">
        <f aca="false">IF(B297="","",17)</f>
        <v/>
      </c>
      <c r="B297" s="21" t="str">
        <f aca="false" t="array" ref="B297:B297">IFERROR(INDEX(Заказы!$A$3:$A$29,SMALL(IF(Заказы!$P$3:$P$29&gt;0,ROW(Заказы!$P$3:$P$29)-ROW(P$3)+1),17)),"")</f>
        <v/>
      </c>
      <c r="C297" s="26" t="str">
        <f aca="false">IF(B297="","",INDEX(Заказы!$P$3:$P$29,MATCH(B297,Заказы!$A$3:$A$29,0)))</f>
        <v/>
      </c>
      <c r="D297" s="26" t="str">
        <f aca="false">IF(B297="","",VLOOKUP(B297,Каталог!$A:$C,2,0))</f>
        <v/>
      </c>
      <c r="E297" s="22" t="str">
        <f aca="false">IF(B297="","",VLOOKUP(B297,Каталог!$A:$C,3,0))</f>
        <v/>
      </c>
      <c r="F297" s="22" t="str">
        <f aca="false">IF(B297="","",C297*E297)</f>
        <v/>
      </c>
      <c r="H297" s="26" t="str">
        <f aca="false">IF(I297="","",17)</f>
        <v/>
      </c>
      <c r="I297" s="21" t="str">
        <f aca="false" t="array" ref="I297:I297">IFERROR(INDEX(Заказы!$A$3:$A$29,SMALL(IF(Заказы!$Q$3:$Q$29&gt;0,ROW(Заказы!$Q$3:$Q$29)-ROW(Q$3)+1),17)),"")</f>
        <v/>
      </c>
      <c r="J297" s="26" t="str">
        <f aca="false">IF(I297="","",INDEX(Заказы!$Q$3:$Q$29,MATCH(I297,Заказы!$A$3:$A$29,0)))</f>
        <v/>
      </c>
      <c r="K297" s="26" t="str">
        <f aca="false">IF(I297="","",VLOOKUP(I297,Каталог!$A:$C,2,0))</f>
        <v/>
      </c>
      <c r="L297" s="22" t="str">
        <f aca="false">IF(I297="","",VLOOKUP(I297,Каталог!$A:$C,3,0))</f>
        <v/>
      </c>
      <c r="M297" s="22" t="str">
        <f aca="false">IF(I297="","",J297*L297)</f>
        <v/>
      </c>
    </row>
    <row r="298" customFormat="false" ht="15" hidden="false" customHeight="false" outlineLevel="0" collapsed="false">
      <c r="A298" s="26" t="str">
        <f aca="false">IF(B298="","",18)</f>
        <v/>
      </c>
      <c r="B298" s="21" t="str">
        <f aca="false" t="array" ref="B298:B298">IFERROR(INDEX(Заказы!$A$3:$A$29,SMALL(IF(Заказы!$P$3:$P$29&gt;0,ROW(Заказы!$P$3:$P$29)-ROW(P$3)+1),18)),"")</f>
        <v/>
      </c>
      <c r="C298" s="26" t="str">
        <f aca="false">IF(B298="","",INDEX(Заказы!$P$3:$P$29,MATCH(B298,Заказы!$A$3:$A$29,0)))</f>
        <v/>
      </c>
      <c r="D298" s="26" t="str">
        <f aca="false">IF(B298="","",VLOOKUP(B298,Каталог!$A:$C,2,0))</f>
        <v/>
      </c>
      <c r="E298" s="22" t="str">
        <f aca="false">IF(B298="","",VLOOKUP(B298,Каталог!$A:$C,3,0))</f>
        <v/>
      </c>
      <c r="F298" s="22" t="str">
        <f aca="false">IF(B298="","",C298*E298)</f>
        <v/>
      </c>
      <c r="H298" s="26" t="str">
        <f aca="false">IF(I298="","",18)</f>
        <v/>
      </c>
      <c r="I298" s="21" t="str">
        <f aca="false" t="array" ref="I298:I298">IFERROR(INDEX(Заказы!$A$3:$A$29,SMALL(IF(Заказы!$Q$3:$Q$29&gt;0,ROW(Заказы!$Q$3:$Q$29)-ROW(Q$3)+1),18)),"")</f>
        <v/>
      </c>
      <c r="J298" s="26" t="str">
        <f aca="false">IF(I298="","",INDEX(Заказы!$Q$3:$Q$29,MATCH(I298,Заказы!$A$3:$A$29,0)))</f>
        <v/>
      </c>
      <c r="K298" s="26" t="str">
        <f aca="false">IF(I298="","",VLOOKUP(I298,Каталог!$A:$C,2,0))</f>
        <v/>
      </c>
      <c r="L298" s="22" t="str">
        <f aca="false">IF(I298="","",VLOOKUP(I298,Каталог!$A:$C,3,0))</f>
        <v/>
      </c>
      <c r="M298" s="22" t="str">
        <f aca="false">IF(I298="","",J298*L298)</f>
        <v/>
      </c>
    </row>
    <row r="299" customFormat="false" ht="15" hidden="false" customHeight="false" outlineLevel="0" collapsed="false">
      <c r="A299" s="26" t="str">
        <f aca="false">IF(B299="","",19)</f>
        <v/>
      </c>
      <c r="B299" s="21" t="str">
        <f aca="false" t="array" ref="B299:B299">IFERROR(INDEX(Заказы!$A$3:$A$29,SMALL(IF(Заказы!$P$3:$P$29&gt;0,ROW(Заказы!$P$3:$P$29)-ROW(P$3)+1),19)),"")</f>
        <v/>
      </c>
      <c r="C299" s="26" t="str">
        <f aca="false">IF(B299="","",INDEX(Заказы!$P$3:$P$29,MATCH(B299,Заказы!$A$3:$A$29,0)))</f>
        <v/>
      </c>
      <c r="D299" s="26" t="str">
        <f aca="false">IF(B299="","",VLOOKUP(B299,Каталог!$A:$C,2,0))</f>
        <v/>
      </c>
      <c r="E299" s="22" t="str">
        <f aca="false">IF(B299="","",VLOOKUP(B299,Каталог!$A:$C,3,0))</f>
        <v/>
      </c>
      <c r="F299" s="22" t="str">
        <f aca="false">IF(B299="","",C299*E299)</f>
        <v/>
      </c>
      <c r="H299" s="26" t="str">
        <f aca="false">IF(I299="","",19)</f>
        <v/>
      </c>
      <c r="I299" s="21" t="str">
        <f aca="false" t="array" ref="I299:I299">IFERROR(INDEX(Заказы!$A$3:$A$29,SMALL(IF(Заказы!$Q$3:$Q$29&gt;0,ROW(Заказы!$Q$3:$Q$29)-ROW(Q$3)+1),19)),"")</f>
        <v/>
      </c>
      <c r="J299" s="26" t="str">
        <f aca="false">IF(I299="","",INDEX(Заказы!$Q$3:$Q$29,MATCH(I299,Заказы!$A$3:$A$29,0)))</f>
        <v/>
      </c>
      <c r="K299" s="26" t="str">
        <f aca="false">IF(I299="","",VLOOKUP(I299,Каталог!$A:$C,2,0))</f>
        <v/>
      </c>
      <c r="L299" s="22" t="str">
        <f aca="false">IF(I299="","",VLOOKUP(I299,Каталог!$A:$C,3,0))</f>
        <v/>
      </c>
      <c r="M299" s="22" t="str">
        <f aca="false">IF(I299="","",J299*L299)</f>
        <v/>
      </c>
    </row>
    <row r="300" customFormat="false" ht="15" hidden="false" customHeight="false" outlineLevel="0" collapsed="false">
      <c r="A300" s="26" t="str">
        <f aca="false">IF(B300="","",20)</f>
        <v/>
      </c>
      <c r="B300" s="21" t="str">
        <f aca="false" t="array" ref="B300:B300">IFERROR(INDEX(Заказы!$A$3:$A$29,SMALL(IF(Заказы!$P$3:$P$29&gt;0,ROW(Заказы!$P$3:$P$29)-ROW(P$3)+1),20)),"")</f>
        <v/>
      </c>
      <c r="C300" s="26" t="str">
        <f aca="false">IF(B300="","",INDEX(Заказы!$P$3:$P$29,MATCH(B300,Заказы!$A$3:$A$29,0)))</f>
        <v/>
      </c>
      <c r="D300" s="26" t="str">
        <f aca="false">IF(B300="","",VLOOKUP(B300,Каталог!$A:$C,2,0))</f>
        <v/>
      </c>
      <c r="E300" s="22" t="str">
        <f aca="false">IF(B300="","",VLOOKUP(B300,Каталог!$A:$C,3,0))</f>
        <v/>
      </c>
      <c r="F300" s="22" t="str">
        <f aca="false">IF(B300="","",C300*E300)</f>
        <v/>
      </c>
      <c r="H300" s="26" t="str">
        <f aca="false">IF(I300="","",20)</f>
        <v/>
      </c>
      <c r="I300" s="21" t="str">
        <f aca="false" t="array" ref="I300:I300">IFERROR(INDEX(Заказы!$A$3:$A$29,SMALL(IF(Заказы!$Q$3:$Q$29&gt;0,ROW(Заказы!$Q$3:$Q$29)-ROW(Q$3)+1),20)),"")</f>
        <v/>
      </c>
      <c r="J300" s="26" t="str">
        <f aca="false">IF(I300="","",INDEX(Заказы!$Q$3:$Q$29,MATCH(I300,Заказы!$A$3:$A$29,0)))</f>
        <v/>
      </c>
      <c r="K300" s="26" t="str">
        <f aca="false">IF(I300="","",VLOOKUP(I300,Каталог!$A:$C,2,0))</f>
        <v/>
      </c>
      <c r="L300" s="22" t="str">
        <f aca="false">IF(I300="","",VLOOKUP(I300,Каталог!$A:$C,3,0))</f>
        <v/>
      </c>
      <c r="M300" s="22" t="str">
        <f aca="false">IF(I300="","",J300*L300)</f>
        <v/>
      </c>
    </row>
    <row r="301" customFormat="false" ht="15" hidden="false" customHeight="false" outlineLevel="0" collapsed="false">
      <c r="A301" s="26" t="str">
        <f aca="false">IF(B301="","",21)</f>
        <v/>
      </c>
      <c r="B301" s="21" t="str">
        <f aca="false" t="array" ref="B301:B301">IFERROR(INDEX(Заказы!$A$3:$A$29,SMALL(IF(Заказы!$P$3:$P$29&gt;0,ROW(Заказы!$P$3:$P$29)-ROW(P$3)+1),21)),"")</f>
        <v/>
      </c>
      <c r="C301" s="26" t="str">
        <f aca="false">IF(B301="","",INDEX(Заказы!$P$3:$P$29,MATCH(B301,Заказы!$A$3:$A$29,0)))</f>
        <v/>
      </c>
      <c r="D301" s="26" t="str">
        <f aca="false">IF(B301="","",VLOOKUP(B301,Каталог!$A:$C,2,0))</f>
        <v/>
      </c>
      <c r="E301" s="22" t="str">
        <f aca="false">IF(B301="","",VLOOKUP(B301,Каталог!$A:$C,3,0))</f>
        <v/>
      </c>
      <c r="F301" s="22" t="str">
        <f aca="false">IF(B301="","",C301*E301)</f>
        <v/>
      </c>
      <c r="H301" s="26" t="str">
        <f aca="false">IF(I301="","",21)</f>
        <v/>
      </c>
      <c r="I301" s="21" t="str">
        <f aca="false" t="array" ref="I301:I301">IFERROR(INDEX(Заказы!$A$3:$A$29,SMALL(IF(Заказы!$Q$3:$Q$29&gt;0,ROW(Заказы!$Q$3:$Q$29)-ROW(Q$3)+1),21)),"")</f>
        <v/>
      </c>
      <c r="J301" s="26" t="str">
        <f aca="false">IF(I301="","",INDEX(Заказы!$Q$3:$Q$29,MATCH(I301,Заказы!$A$3:$A$29,0)))</f>
        <v/>
      </c>
      <c r="K301" s="26" t="str">
        <f aca="false">IF(I301="","",VLOOKUP(I301,Каталог!$A:$C,2,0))</f>
        <v/>
      </c>
      <c r="L301" s="22" t="str">
        <f aca="false">IF(I301="","",VLOOKUP(I301,Каталог!$A:$C,3,0))</f>
        <v/>
      </c>
      <c r="M301" s="22" t="str">
        <f aca="false">IF(I301="","",J301*L301)</f>
        <v/>
      </c>
    </row>
    <row r="302" customFormat="false" ht="15" hidden="false" customHeight="false" outlineLevel="0" collapsed="false">
      <c r="A302" s="26" t="str">
        <f aca="false">IF(B302="","",22)</f>
        <v/>
      </c>
      <c r="B302" s="21" t="str">
        <f aca="false" t="array" ref="B302:B302">IFERROR(INDEX(Заказы!$A$3:$A$29,SMALL(IF(Заказы!$P$3:$P$29&gt;0,ROW(Заказы!$P$3:$P$29)-ROW(P$3)+1),22)),"")</f>
        <v/>
      </c>
      <c r="C302" s="26" t="str">
        <f aca="false">IF(B302="","",INDEX(Заказы!$P$3:$P$29,MATCH(B302,Заказы!$A$3:$A$29,0)))</f>
        <v/>
      </c>
      <c r="D302" s="26" t="str">
        <f aca="false">IF(B302="","",VLOOKUP(B302,Каталог!$A:$C,2,0))</f>
        <v/>
      </c>
      <c r="E302" s="22" t="str">
        <f aca="false">IF(B302="","",VLOOKUP(B302,Каталог!$A:$C,3,0))</f>
        <v/>
      </c>
      <c r="F302" s="22" t="str">
        <f aca="false">IF(B302="","",C302*E302)</f>
        <v/>
      </c>
      <c r="H302" s="26" t="str">
        <f aca="false">IF(I302="","",22)</f>
        <v/>
      </c>
      <c r="I302" s="21" t="str">
        <f aca="false" t="array" ref="I302:I302">IFERROR(INDEX(Заказы!$A$3:$A$29,SMALL(IF(Заказы!$Q$3:$Q$29&gt;0,ROW(Заказы!$Q$3:$Q$29)-ROW(Q$3)+1),22)),"")</f>
        <v/>
      </c>
      <c r="J302" s="26" t="str">
        <f aca="false">IF(I302="","",INDEX(Заказы!$Q$3:$Q$29,MATCH(I302,Заказы!$A$3:$A$29,0)))</f>
        <v/>
      </c>
      <c r="K302" s="26" t="str">
        <f aca="false">IF(I302="","",VLOOKUP(I302,Каталог!$A:$C,2,0))</f>
        <v/>
      </c>
      <c r="L302" s="22" t="str">
        <f aca="false">IF(I302="","",VLOOKUP(I302,Каталог!$A:$C,3,0))</f>
        <v/>
      </c>
      <c r="M302" s="22" t="str">
        <f aca="false">IF(I302="","",J302*L302)</f>
        <v/>
      </c>
    </row>
    <row r="303" customFormat="false" ht="15" hidden="false" customHeight="false" outlineLevel="0" collapsed="false">
      <c r="A303" s="26" t="str">
        <f aca="false">IF(B303="","",23)</f>
        <v/>
      </c>
      <c r="B303" s="21" t="str">
        <f aca="false" t="array" ref="B303:B303">IFERROR(INDEX(Заказы!$A$3:$A$29,SMALL(IF(Заказы!$P$3:$P$29&gt;0,ROW(Заказы!$P$3:$P$29)-ROW(P$3)+1),23)),"")</f>
        <v/>
      </c>
      <c r="C303" s="26" t="str">
        <f aca="false">IF(B303="","",INDEX(Заказы!$P$3:$P$29,MATCH(B303,Заказы!$A$3:$A$29,0)))</f>
        <v/>
      </c>
      <c r="D303" s="26" t="str">
        <f aca="false">IF(B303="","",VLOOKUP(B303,Каталог!$A:$C,2,0))</f>
        <v/>
      </c>
      <c r="E303" s="22" t="str">
        <f aca="false">IF(B303="","",VLOOKUP(B303,Каталог!$A:$C,3,0))</f>
        <v/>
      </c>
      <c r="F303" s="22" t="str">
        <f aca="false">IF(B303="","",C303*E303)</f>
        <v/>
      </c>
      <c r="H303" s="26" t="str">
        <f aca="false">IF(I303="","",23)</f>
        <v/>
      </c>
      <c r="I303" s="21" t="str">
        <f aca="false" t="array" ref="I303:I303">IFERROR(INDEX(Заказы!$A$3:$A$29,SMALL(IF(Заказы!$Q$3:$Q$29&gt;0,ROW(Заказы!$Q$3:$Q$29)-ROW(Q$3)+1),23)),"")</f>
        <v/>
      </c>
      <c r="J303" s="26" t="str">
        <f aca="false">IF(I303="","",INDEX(Заказы!$Q$3:$Q$29,MATCH(I303,Заказы!$A$3:$A$29,0)))</f>
        <v/>
      </c>
      <c r="K303" s="26" t="str">
        <f aca="false">IF(I303="","",VLOOKUP(I303,Каталог!$A:$C,2,0))</f>
        <v/>
      </c>
      <c r="L303" s="22" t="str">
        <f aca="false">IF(I303="","",VLOOKUP(I303,Каталог!$A:$C,3,0))</f>
        <v/>
      </c>
      <c r="M303" s="22" t="str">
        <f aca="false">IF(I303="","",J303*L303)</f>
        <v/>
      </c>
    </row>
    <row r="304" customFormat="false" ht="15" hidden="false" customHeight="false" outlineLevel="0" collapsed="false">
      <c r="A304" s="26" t="str">
        <f aca="false">IF(B304="","",24)</f>
        <v/>
      </c>
      <c r="B304" s="21" t="str">
        <f aca="false" t="array" ref="B304:B304">IFERROR(INDEX(Заказы!$A$3:$A$29,SMALL(IF(Заказы!$P$3:$P$29&gt;0,ROW(Заказы!$P$3:$P$29)-ROW(P$3)+1),24)),"")</f>
        <v/>
      </c>
      <c r="C304" s="26" t="str">
        <f aca="false">IF(B304="","",INDEX(Заказы!$P$3:$P$29,MATCH(B304,Заказы!$A$3:$A$29,0)))</f>
        <v/>
      </c>
      <c r="D304" s="26" t="str">
        <f aca="false">IF(B304="","",VLOOKUP(B304,Каталог!$A:$C,2,0))</f>
        <v/>
      </c>
      <c r="E304" s="22" t="str">
        <f aca="false">IF(B304="","",VLOOKUP(B304,Каталог!$A:$C,3,0))</f>
        <v/>
      </c>
      <c r="F304" s="22" t="str">
        <f aca="false">IF(B304="","",C304*E304)</f>
        <v/>
      </c>
      <c r="H304" s="26" t="str">
        <f aca="false">IF(I304="","",24)</f>
        <v/>
      </c>
      <c r="I304" s="21" t="str">
        <f aca="false" t="array" ref="I304:I304">IFERROR(INDEX(Заказы!$A$3:$A$29,SMALL(IF(Заказы!$Q$3:$Q$29&gt;0,ROW(Заказы!$Q$3:$Q$29)-ROW(Q$3)+1),24)),"")</f>
        <v/>
      </c>
      <c r="J304" s="26" t="str">
        <f aca="false">IF(I304="","",INDEX(Заказы!$Q$3:$Q$29,MATCH(I304,Заказы!$A$3:$A$29,0)))</f>
        <v/>
      </c>
      <c r="K304" s="26" t="str">
        <f aca="false">IF(I304="","",VLOOKUP(I304,Каталог!$A:$C,2,0))</f>
        <v/>
      </c>
      <c r="L304" s="22" t="str">
        <f aca="false">IF(I304="","",VLOOKUP(I304,Каталог!$A:$C,3,0))</f>
        <v/>
      </c>
      <c r="M304" s="22" t="str">
        <f aca="false">IF(I304="","",J304*L304)</f>
        <v/>
      </c>
    </row>
    <row r="305" customFormat="false" ht="15" hidden="false" customHeight="false" outlineLevel="0" collapsed="false">
      <c r="A305" s="26" t="str">
        <f aca="false">IF(B305="","",25)</f>
        <v/>
      </c>
      <c r="B305" s="21" t="str">
        <f aca="false" t="array" ref="B305:B305">IFERROR(INDEX(Заказы!$A$3:$A$29,SMALL(IF(Заказы!$P$3:$P$29&gt;0,ROW(Заказы!$P$3:$P$29)-ROW(P$3)+1),25)),"")</f>
        <v/>
      </c>
      <c r="C305" s="26" t="str">
        <f aca="false">IF(B305="","",INDEX(Заказы!$P$3:$P$29,MATCH(B305,Заказы!$A$3:$A$29,0)))</f>
        <v/>
      </c>
      <c r="D305" s="26" t="str">
        <f aca="false">IF(B305="","",VLOOKUP(B305,Каталог!$A:$C,2,0))</f>
        <v/>
      </c>
      <c r="E305" s="22" t="str">
        <f aca="false">IF(B305="","",VLOOKUP(B305,Каталог!$A:$C,3,0))</f>
        <v/>
      </c>
      <c r="F305" s="22" t="str">
        <f aca="false">IF(B305="","",C305*E305)</f>
        <v/>
      </c>
      <c r="H305" s="26" t="str">
        <f aca="false">IF(I305="","",25)</f>
        <v/>
      </c>
      <c r="I305" s="21" t="str">
        <f aca="false" t="array" ref="I305:I305">IFERROR(INDEX(Заказы!$A$3:$A$29,SMALL(IF(Заказы!$Q$3:$Q$29&gt;0,ROW(Заказы!$Q$3:$Q$29)-ROW(Q$3)+1),25)),"")</f>
        <v/>
      </c>
      <c r="J305" s="26" t="str">
        <f aca="false">IF(I305="","",INDEX(Заказы!$Q$3:$Q$29,MATCH(I305,Заказы!$A$3:$A$29,0)))</f>
        <v/>
      </c>
      <c r="K305" s="26" t="str">
        <f aca="false">IF(I305="","",VLOOKUP(I305,Каталог!$A:$C,2,0))</f>
        <v/>
      </c>
      <c r="L305" s="22" t="str">
        <f aca="false">IF(I305="","",VLOOKUP(I305,Каталог!$A:$C,3,0))</f>
        <v/>
      </c>
      <c r="M305" s="22" t="str">
        <f aca="false">IF(I305="","",J305*L305)</f>
        <v/>
      </c>
    </row>
    <row r="306" customFormat="false" ht="15" hidden="false" customHeight="false" outlineLevel="0" collapsed="false">
      <c r="A306" s="26" t="str">
        <f aca="false">IF(B306="","",26)</f>
        <v/>
      </c>
      <c r="B306" s="21" t="str">
        <f aca="false" t="array" ref="B306:B306">IFERROR(INDEX(Заказы!$A$3:$A$29,SMALL(IF(Заказы!$P$3:$P$29&gt;0,ROW(Заказы!$P$3:$P$29)-ROW(P$3)+1),26)),"")</f>
        <v/>
      </c>
      <c r="C306" s="26" t="str">
        <f aca="false">IF(B306="","",INDEX(Заказы!$P$3:$P$29,MATCH(B306,Заказы!$A$3:$A$29,0)))</f>
        <v/>
      </c>
      <c r="D306" s="26" t="str">
        <f aca="false">IF(B306="","",VLOOKUP(B306,Каталог!$A:$C,2,0))</f>
        <v/>
      </c>
      <c r="E306" s="22" t="str">
        <f aca="false">IF(B306="","",VLOOKUP(B306,Каталог!$A:$C,3,0))</f>
        <v/>
      </c>
      <c r="F306" s="22" t="str">
        <f aca="false">IF(B306="","",C306*E306)</f>
        <v/>
      </c>
      <c r="H306" s="26" t="str">
        <f aca="false">IF(I306="","",26)</f>
        <v/>
      </c>
      <c r="I306" s="21" t="str">
        <f aca="false" t="array" ref="I306:I306">IFERROR(INDEX(Заказы!$A$3:$A$29,SMALL(IF(Заказы!$Q$3:$Q$29&gt;0,ROW(Заказы!$Q$3:$Q$29)-ROW(Q$3)+1),26)),"")</f>
        <v/>
      </c>
      <c r="J306" s="26" t="str">
        <f aca="false">IF(I306="","",INDEX(Заказы!$Q$3:$Q$29,MATCH(I306,Заказы!$A$3:$A$29,0)))</f>
        <v/>
      </c>
      <c r="K306" s="26" t="str">
        <f aca="false">IF(I306="","",VLOOKUP(I306,Каталог!$A:$C,2,0))</f>
        <v/>
      </c>
      <c r="L306" s="22" t="str">
        <f aca="false">IF(I306="","",VLOOKUP(I306,Каталог!$A:$C,3,0))</f>
        <v/>
      </c>
      <c r="M306" s="22" t="str">
        <f aca="false">IF(I306="","",J306*L306)</f>
        <v/>
      </c>
    </row>
    <row r="307" customFormat="false" ht="15" hidden="false" customHeight="false" outlineLevel="0" collapsed="false">
      <c r="A307" s="26" t="str">
        <f aca="false">IF(B307="","",27)</f>
        <v/>
      </c>
      <c r="B307" s="21" t="str">
        <f aca="false" t="array" ref="B307:B307">IFERROR(INDEX(Заказы!$A$3:$A$29,SMALL(IF(Заказы!$P$3:$P$29&gt;0,ROW(Заказы!$P$3:$P$29)-ROW(P$3)+1),27)),"")</f>
        <v/>
      </c>
      <c r="C307" s="26" t="str">
        <f aca="false">IF(B307="","",INDEX(Заказы!$P$3:$P$29,MATCH(B307,Заказы!$A$3:$A$29,0)))</f>
        <v/>
      </c>
      <c r="D307" s="26" t="str">
        <f aca="false">IF(B307="","",VLOOKUP(B307,Каталог!$A:$C,2,0))</f>
        <v/>
      </c>
      <c r="E307" s="22" t="str">
        <f aca="false">IF(B307="","",VLOOKUP(B307,Каталог!$A:$C,3,0))</f>
        <v/>
      </c>
      <c r="F307" s="22" t="str">
        <f aca="false">IF(B307="","",C307*E307)</f>
        <v/>
      </c>
      <c r="H307" s="26" t="str">
        <f aca="false">IF(I307="","",27)</f>
        <v/>
      </c>
      <c r="I307" s="21" t="str">
        <f aca="false" t="array" ref="I307:I307">IFERROR(INDEX(Заказы!$A$3:$A$29,SMALL(IF(Заказы!$Q$3:$Q$29&gt;0,ROW(Заказы!$Q$3:$Q$29)-ROW(Q$3)+1),27)),"")</f>
        <v/>
      </c>
      <c r="J307" s="26" t="str">
        <f aca="false">IF(I307="","",INDEX(Заказы!$Q$3:$Q$29,MATCH(I307,Заказы!$A$3:$A$29,0)))</f>
        <v/>
      </c>
      <c r="K307" s="26" t="str">
        <f aca="false">IF(I307="","",VLOOKUP(I307,Каталог!$A:$C,2,0))</f>
        <v/>
      </c>
      <c r="L307" s="22" t="str">
        <f aca="false">IF(I307="","",VLOOKUP(I307,Каталог!$A:$C,3,0))</f>
        <v/>
      </c>
      <c r="M307" s="22" t="str">
        <f aca="false">IF(I307="","",J307*L307)</f>
        <v/>
      </c>
    </row>
    <row r="308" customFormat="false" ht="15" hidden="false" customHeight="false" outlineLevel="0" collapsed="false">
      <c r="A308" s="23"/>
      <c r="B308" s="23"/>
      <c r="C308" s="23"/>
      <c r="D308" s="23"/>
      <c r="E308" s="23"/>
      <c r="F308" s="23"/>
      <c r="H308" s="23"/>
      <c r="I308" s="23"/>
      <c r="J308" s="23"/>
      <c r="K308" s="23"/>
      <c r="L308" s="23"/>
      <c r="M308" s="23"/>
    </row>
    <row r="309" customFormat="false" ht="15" hidden="false" customHeight="false" outlineLevel="0" collapsed="false">
      <c r="A309" s="24" t="str">
        <f aca="false">IF(COUNTIF(Заказы!$P$3:$P$29,"&gt;0")=0,"","Итого:")</f>
        <v/>
      </c>
      <c r="B309" s="24"/>
      <c r="C309" s="24"/>
      <c r="D309" s="24"/>
      <c r="E309" s="25" t="str">
        <f aca="false">IF(COUNTIF(Заказы!$P$3:$P$29,"&gt;0")=0,"",SUM(F281:F307))</f>
        <v/>
      </c>
      <c r="F309" s="25"/>
      <c r="H309" s="24" t="str">
        <f aca="false">IF(COUNTIF(Заказы!$Q$3:$Q$29,"&gt;0")=0,"","Итого:")</f>
        <v/>
      </c>
      <c r="I309" s="24"/>
      <c r="J309" s="24"/>
      <c r="K309" s="24"/>
      <c r="L309" s="25" t="str">
        <f aca="false">IF(COUNTIF(Заказы!$Q$3:$Q$29,"&gt;0")=0,"",SUM(M281:M307))</f>
        <v/>
      </c>
      <c r="M309" s="25"/>
    </row>
    <row r="311" customFormat="false" ht="15" hidden="false" customHeight="false" outlineLevel="0" collapsed="false">
      <c r="A311" s="18" t="str">
        <f aca="false">IF(COUNTIF(Заказы!$P$3:$P$29,"&gt;0")=0,"","Подпись отправителя: __________________")</f>
        <v/>
      </c>
      <c r="B311" s="18"/>
      <c r="C311" s="18"/>
      <c r="D311" s="18"/>
      <c r="E311" s="18"/>
      <c r="F311" s="18"/>
      <c r="H311" s="18" t="str">
        <f aca="false">IF(COUNTIF(Заказы!$Q$3:$Q$29,"&gt;0")=0,"","Подпись отправителя: __________________")</f>
        <v/>
      </c>
      <c r="I311" s="18"/>
      <c r="J311" s="18"/>
      <c r="K311" s="18"/>
      <c r="L311" s="18"/>
      <c r="M311" s="18"/>
    </row>
    <row r="312" customFormat="false" ht="15" hidden="false" customHeight="false" outlineLevel="0" collapsed="false">
      <c r="A312" s="18" t="str">
        <f aca="false">IF(COUNTIF(Заказы!$P$3:$P$29,"&gt;0")=0,"","Подпись получателя: ___________________")</f>
        <v/>
      </c>
      <c r="B312" s="18"/>
      <c r="C312" s="18"/>
      <c r="D312" s="18"/>
      <c r="E312" s="18"/>
      <c r="F312" s="18"/>
      <c r="H312" s="18" t="str">
        <f aca="false">IF(COUNTIF(Заказы!$Q$3:$Q$29,"&gt;0")=0,"","Подпись получателя: ___________________")</f>
        <v/>
      </c>
      <c r="I312" s="18"/>
      <c r="J312" s="18"/>
      <c r="K312" s="18"/>
      <c r="L312" s="18"/>
      <c r="M312" s="18"/>
    </row>
    <row r="314" customFormat="false" ht="17.35" hidden="false" customHeight="false" outlineLevel="0" collapsed="false">
      <c r="A314" s="17" t="str">
        <f aca="false">IF(COUNTIF(Заказы!$R$3:$R$29,"&gt;0")=0,"","НАКЛАДНАЯ")</f>
        <v/>
      </c>
      <c r="B314" s="17"/>
      <c r="C314" s="17"/>
      <c r="D314" s="17"/>
      <c r="E314" s="17"/>
      <c r="F314" s="17"/>
      <c r="H314" s="17" t="str">
        <f aca="false">IF(COUNTIF(Заказы!$S$3:$S$29,"&gt;0")=0,"","НАКЛАДНАЯ")</f>
        <v/>
      </c>
      <c r="I314" s="17"/>
      <c r="J314" s="17"/>
      <c r="K314" s="17"/>
      <c r="L314" s="17"/>
      <c r="M314" s="17"/>
    </row>
    <row r="315" customFormat="false" ht="15" hidden="false" customHeight="false" outlineLevel="0" collapsed="false">
      <c r="A315" s="18" t="str">
        <f aca="false">IF(COUNTIF(Заказы!$R$3:$R$29,"&gt;0")=0,"","Отправитель: Brown кондитерский цех")</f>
        <v/>
      </c>
      <c r="B315" s="18"/>
      <c r="C315" s="18"/>
      <c r="D315" s="18"/>
      <c r="E315" s="18"/>
      <c r="F315" s="18"/>
      <c r="H315" s="18" t="str">
        <f aca="false">IF(COUNTIF(Заказы!$S$3:$S$29,"&gt;0")=0,"","Отправитель: Brown кондитерский цех")</f>
        <v/>
      </c>
      <c r="I315" s="18"/>
      <c r="J315" s="18"/>
      <c r="K315" s="18"/>
      <c r="L315" s="18"/>
      <c r="M315" s="18"/>
    </row>
    <row r="316" customFormat="false" ht="15" hidden="false" customHeight="false" outlineLevel="0" collapsed="false">
      <c r="A316" s="18" t="str">
        <f aca="false">IF(COUNTIF(Заказы!$R$3:$R$29,"&gt;0")=0,"","Получатель: "&amp;Заказы!R$2)</f>
        <v/>
      </c>
      <c r="B316" s="18"/>
      <c r="C316" s="18"/>
      <c r="D316" s="18"/>
      <c r="E316" s="18"/>
      <c r="F316" s="18"/>
      <c r="H316" s="18" t="str">
        <f aca="false">IF(COUNTIF(Заказы!$S$3:$S$29,"&gt;0")=0,"","Получатель: "&amp;Заказы!S$2)</f>
        <v/>
      </c>
      <c r="I316" s="18"/>
      <c r="J316" s="18"/>
      <c r="K316" s="18"/>
      <c r="L316" s="18"/>
      <c r="M316" s="18"/>
    </row>
    <row r="317" customFormat="false" ht="15" hidden="false" customHeight="false" outlineLevel="0" collapsed="false">
      <c r="A317" s="19" t="str">
        <f aca="false">IF(COUNTIF(Заказы!$R$3:$R$29,"&gt;0")=0,"","Накладная от: "&amp;TEXT(Заказы!$B$1,"dd.mm.yyyy"))</f>
        <v/>
      </c>
      <c r="B317" s="19"/>
      <c r="C317" s="19"/>
      <c r="D317" s="19"/>
      <c r="E317" s="19"/>
      <c r="F317" s="19"/>
      <c r="H317" s="19" t="str">
        <f aca="false">IF(COUNTIF(Заказы!$S$3:$S$29,"&gt;0")=0,"","Накладная от: "&amp;TEXT(Заказы!$B$1,"dd.mm.yyyy"))</f>
        <v/>
      </c>
      <c r="I317" s="19"/>
      <c r="J317" s="19"/>
      <c r="K317" s="19"/>
      <c r="L317" s="19"/>
      <c r="M317" s="19"/>
    </row>
    <row r="319" customFormat="false" ht="15" hidden="false" customHeight="false" outlineLevel="0" collapsed="false">
      <c r="A319" s="4" t="str">
        <f aca="false">IF(COUNTIF(Заказы!$R$3:$R$29,"&gt;0")=0,"","№")</f>
        <v/>
      </c>
      <c r="B319" s="4" t="str">
        <f aca="false">IF(COUNTIF(Заказы!$R$3:$R$29,"&gt;0")=0,"","Наименование")</f>
        <v/>
      </c>
      <c r="C319" s="4" t="str">
        <f aca="false">IF(COUNTIF(Заказы!$R$3:$R$29,"&gt;0")=0,"","Кол.")</f>
        <v/>
      </c>
      <c r="D319" s="4" t="str">
        <f aca="false">IF(COUNTIF(Заказы!$R$3:$R$29,"&gt;0")=0,"","Ед.")</f>
        <v/>
      </c>
      <c r="E319" s="4" t="str">
        <f aca="false">IF(COUNTIF(Заказы!$R$3:$R$29,"&gt;0")=0,"","Цена")</f>
        <v/>
      </c>
      <c r="F319" s="4" t="str">
        <f aca="false">IF(COUNTIF(Заказы!$R$3:$R$29,"&gt;0")=0,"","Сумма")</f>
        <v/>
      </c>
      <c r="H319" s="4" t="str">
        <f aca="false">IF(COUNTIF(Заказы!$S$3:$S$29,"&gt;0")=0,"","№")</f>
        <v/>
      </c>
      <c r="I319" s="4" t="str">
        <f aca="false">IF(COUNTIF(Заказы!$S$3:$S$29,"&gt;0")=0,"","Наименование")</f>
        <v/>
      </c>
      <c r="J319" s="4" t="str">
        <f aca="false">IF(COUNTIF(Заказы!$S$3:$S$29,"&gt;0")=0,"","Кол.")</f>
        <v/>
      </c>
      <c r="K319" s="4" t="str">
        <f aca="false">IF(COUNTIF(Заказы!$S$3:$S$29,"&gt;0")=0,"","Ед.")</f>
        <v/>
      </c>
      <c r="L319" s="4" t="str">
        <f aca="false">IF(COUNTIF(Заказы!$S$3:$S$29,"&gt;0")=0,"","Цена")</f>
        <v/>
      </c>
      <c r="M319" s="4" t="str">
        <f aca="false">IF(COUNTIF(Заказы!$S$3:$S$29,"&gt;0")=0,"","Сумма")</f>
        <v/>
      </c>
    </row>
    <row r="320" customFormat="false" ht="15" hidden="false" customHeight="false" outlineLevel="0" collapsed="false">
      <c r="A320" s="26" t="str">
        <f aca="false">IF(B320="","",1)</f>
        <v/>
      </c>
      <c r="B320" s="21" t="str">
        <f aca="false" t="array" ref="B320:B320">IFERROR(INDEX(Заказы!$A$3:$A$29,SMALL(IF(Заказы!$R$3:$R$29&gt;0,ROW(Заказы!$R$3:$R$29)-ROW(R$3)+1),1)),"")</f>
        <v/>
      </c>
      <c r="C320" s="26" t="str">
        <f aca="false">IF(B320="","",INDEX(Заказы!$R$3:$R$29,MATCH(B320,Заказы!$A$3:$A$29,0)))</f>
        <v/>
      </c>
      <c r="D320" s="26" t="str">
        <f aca="false">IF(B320="","",VLOOKUP(B320,Каталог!$A:$C,2,0))</f>
        <v/>
      </c>
      <c r="E320" s="22" t="str">
        <f aca="false">IF(B320="","",VLOOKUP(B320,Каталог!$A:$C,3,0))</f>
        <v/>
      </c>
      <c r="F320" s="22" t="str">
        <f aca="false">IF(B320="","",C320*E320)</f>
        <v/>
      </c>
      <c r="H320" s="26" t="str">
        <f aca="false">IF(I320="","",1)</f>
        <v/>
      </c>
      <c r="I320" s="21" t="str">
        <f aca="false" t="array" ref="I320:I320">IFERROR(INDEX(Заказы!$A$3:$A$29,SMALL(IF(Заказы!$S$3:$S$29&gt;0,ROW(Заказы!$S$3:$S$29)-ROW(S$3)+1),1)),"")</f>
        <v/>
      </c>
      <c r="J320" s="26" t="str">
        <f aca="false">IF(I320="","",INDEX(Заказы!$S$3:$S$29,MATCH(I320,Заказы!$A$3:$A$29,0)))</f>
        <v/>
      </c>
      <c r="K320" s="26" t="str">
        <f aca="false">IF(I320="","",VLOOKUP(I320,Каталог!$A:$C,2,0))</f>
        <v/>
      </c>
      <c r="L320" s="22" t="str">
        <f aca="false">IF(I320="","",VLOOKUP(I320,Каталог!$A:$C,3,0))</f>
        <v/>
      </c>
      <c r="M320" s="22" t="str">
        <f aca="false">IF(I320="","",J320*L320)</f>
        <v/>
      </c>
    </row>
    <row r="321" customFormat="false" ht="15" hidden="false" customHeight="false" outlineLevel="0" collapsed="false">
      <c r="A321" s="26" t="str">
        <f aca="false">IF(B321="","",2)</f>
        <v/>
      </c>
      <c r="B321" s="21" t="str">
        <f aca="false" t="array" ref="B321:B321">IFERROR(INDEX(Заказы!$A$3:$A$29,SMALL(IF(Заказы!$R$3:$R$29&gt;0,ROW(Заказы!$R$3:$R$29)-ROW(R$3)+1),2)),"")</f>
        <v/>
      </c>
      <c r="C321" s="26" t="str">
        <f aca="false">IF(B321="","",INDEX(Заказы!$R$3:$R$29,MATCH(B321,Заказы!$A$3:$A$29,0)))</f>
        <v/>
      </c>
      <c r="D321" s="26" t="str">
        <f aca="false">IF(B321="","",VLOOKUP(B321,Каталог!$A:$C,2,0))</f>
        <v/>
      </c>
      <c r="E321" s="22" t="str">
        <f aca="false">IF(B321="","",VLOOKUP(B321,Каталог!$A:$C,3,0))</f>
        <v/>
      </c>
      <c r="F321" s="22" t="str">
        <f aca="false">IF(B321="","",C321*E321)</f>
        <v/>
      </c>
      <c r="H321" s="26" t="str">
        <f aca="false">IF(I321="","",2)</f>
        <v/>
      </c>
      <c r="I321" s="21" t="str">
        <f aca="false" t="array" ref="I321:I321">IFERROR(INDEX(Заказы!$A$3:$A$29,SMALL(IF(Заказы!$S$3:$S$29&gt;0,ROW(Заказы!$S$3:$S$29)-ROW(S$3)+1),2)),"")</f>
        <v/>
      </c>
      <c r="J321" s="26" t="str">
        <f aca="false">IF(I321="","",INDEX(Заказы!$S$3:$S$29,MATCH(I321,Заказы!$A$3:$A$29,0)))</f>
        <v/>
      </c>
      <c r="K321" s="26" t="str">
        <f aca="false">IF(I321="","",VLOOKUP(I321,Каталог!$A:$C,2,0))</f>
        <v/>
      </c>
      <c r="L321" s="22" t="str">
        <f aca="false">IF(I321="","",VLOOKUP(I321,Каталог!$A:$C,3,0))</f>
        <v/>
      </c>
      <c r="M321" s="22" t="str">
        <f aca="false">IF(I321="","",J321*L321)</f>
        <v/>
      </c>
    </row>
    <row r="322" customFormat="false" ht="15" hidden="false" customHeight="false" outlineLevel="0" collapsed="false">
      <c r="A322" s="26" t="str">
        <f aca="false">IF(B322="","",3)</f>
        <v/>
      </c>
      <c r="B322" s="21" t="str">
        <f aca="false" t="array" ref="B322:B322">IFERROR(INDEX(Заказы!$A$3:$A$29,SMALL(IF(Заказы!$R$3:$R$29&gt;0,ROW(Заказы!$R$3:$R$29)-ROW(R$3)+1),3)),"")</f>
        <v/>
      </c>
      <c r="C322" s="26" t="str">
        <f aca="false">IF(B322="","",INDEX(Заказы!$R$3:$R$29,MATCH(B322,Заказы!$A$3:$A$29,0)))</f>
        <v/>
      </c>
      <c r="D322" s="26" t="str">
        <f aca="false">IF(B322="","",VLOOKUP(B322,Каталог!$A:$C,2,0))</f>
        <v/>
      </c>
      <c r="E322" s="22" t="str">
        <f aca="false">IF(B322="","",VLOOKUP(B322,Каталог!$A:$C,3,0))</f>
        <v/>
      </c>
      <c r="F322" s="22" t="str">
        <f aca="false">IF(B322="","",C322*E322)</f>
        <v/>
      </c>
      <c r="H322" s="26" t="str">
        <f aca="false">IF(I322="","",3)</f>
        <v/>
      </c>
      <c r="I322" s="21" t="str">
        <f aca="false" t="array" ref="I322:I322">IFERROR(INDEX(Заказы!$A$3:$A$29,SMALL(IF(Заказы!$S$3:$S$29&gt;0,ROW(Заказы!$S$3:$S$29)-ROW(S$3)+1),3)),"")</f>
        <v/>
      </c>
      <c r="J322" s="26" t="str">
        <f aca="false">IF(I322="","",INDEX(Заказы!$S$3:$S$29,MATCH(I322,Заказы!$A$3:$A$29,0)))</f>
        <v/>
      </c>
      <c r="K322" s="26" t="str">
        <f aca="false">IF(I322="","",VLOOKUP(I322,Каталог!$A:$C,2,0))</f>
        <v/>
      </c>
      <c r="L322" s="22" t="str">
        <f aca="false">IF(I322="","",VLOOKUP(I322,Каталог!$A:$C,3,0))</f>
        <v/>
      </c>
      <c r="M322" s="22" t="str">
        <f aca="false">IF(I322="","",J322*L322)</f>
        <v/>
      </c>
    </row>
    <row r="323" customFormat="false" ht="15" hidden="false" customHeight="false" outlineLevel="0" collapsed="false">
      <c r="A323" s="26" t="str">
        <f aca="false">IF(B323="","",4)</f>
        <v/>
      </c>
      <c r="B323" s="21" t="str">
        <f aca="false" t="array" ref="B323:B323">IFERROR(INDEX(Заказы!$A$3:$A$29,SMALL(IF(Заказы!$R$3:$R$29&gt;0,ROW(Заказы!$R$3:$R$29)-ROW(R$3)+1),4)),"")</f>
        <v/>
      </c>
      <c r="C323" s="26" t="str">
        <f aca="false">IF(B323="","",INDEX(Заказы!$R$3:$R$29,MATCH(B323,Заказы!$A$3:$A$29,0)))</f>
        <v/>
      </c>
      <c r="D323" s="26" t="str">
        <f aca="false">IF(B323="","",VLOOKUP(B323,Каталог!$A:$C,2,0))</f>
        <v/>
      </c>
      <c r="E323" s="22" t="str">
        <f aca="false">IF(B323="","",VLOOKUP(B323,Каталог!$A:$C,3,0))</f>
        <v/>
      </c>
      <c r="F323" s="22" t="str">
        <f aca="false">IF(B323="","",C323*E323)</f>
        <v/>
      </c>
      <c r="H323" s="26" t="str">
        <f aca="false">IF(I323="","",4)</f>
        <v/>
      </c>
      <c r="I323" s="21" t="str">
        <f aca="false" t="array" ref="I323:I323">IFERROR(INDEX(Заказы!$A$3:$A$29,SMALL(IF(Заказы!$S$3:$S$29&gt;0,ROW(Заказы!$S$3:$S$29)-ROW(S$3)+1),4)),"")</f>
        <v/>
      </c>
      <c r="J323" s="26" t="str">
        <f aca="false">IF(I323="","",INDEX(Заказы!$S$3:$S$29,MATCH(I323,Заказы!$A$3:$A$29,0)))</f>
        <v/>
      </c>
      <c r="K323" s="26" t="str">
        <f aca="false">IF(I323="","",VLOOKUP(I323,Каталог!$A:$C,2,0))</f>
        <v/>
      </c>
      <c r="L323" s="22" t="str">
        <f aca="false">IF(I323="","",VLOOKUP(I323,Каталог!$A:$C,3,0))</f>
        <v/>
      </c>
      <c r="M323" s="22" t="str">
        <f aca="false">IF(I323="","",J323*L323)</f>
        <v/>
      </c>
    </row>
    <row r="324" customFormat="false" ht="15" hidden="false" customHeight="false" outlineLevel="0" collapsed="false">
      <c r="A324" s="26" t="str">
        <f aca="false">IF(B324="","",5)</f>
        <v/>
      </c>
      <c r="B324" s="21" t="str">
        <f aca="false" t="array" ref="B324:B324">IFERROR(INDEX(Заказы!$A$3:$A$29,SMALL(IF(Заказы!$R$3:$R$29&gt;0,ROW(Заказы!$R$3:$R$29)-ROW(R$3)+1),5)),"")</f>
        <v/>
      </c>
      <c r="C324" s="26" t="str">
        <f aca="false">IF(B324="","",INDEX(Заказы!$R$3:$R$29,MATCH(B324,Заказы!$A$3:$A$29,0)))</f>
        <v/>
      </c>
      <c r="D324" s="26" t="str">
        <f aca="false">IF(B324="","",VLOOKUP(B324,Каталог!$A:$C,2,0))</f>
        <v/>
      </c>
      <c r="E324" s="22" t="str">
        <f aca="false">IF(B324="","",VLOOKUP(B324,Каталог!$A:$C,3,0))</f>
        <v/>
      </c>
      <c r="F324" s="22" t="str">
        <f aca="false">IF(B324="","",C324*E324)</f>
        <v/>
      </c>
      <c r="H324" s="26" t="str">
        <f aca="false">IF(I324="","",5)</f>
        <v/>
      </c>
      <c r="I324" s="21" t="str">
        <f aca="false" t="array" ref="I324:I324">IFERROR(INDEX(Заказы!$A$3:$A$29,SMALL(IF(Заказы!$S$3:$S$29&gt;0,ROW(Заказы!$S$3:$S$29)-ROW(S$3)+1),5)),"")</f>
        <v/>
      </c>
      <c r="J324" s="26" t="str">
        <f aca="false">IF(I324="","",INDEX(Заказы!$S$3:$S$29,MATCH(I324,Заказы!$A$3:$A$29,0)))</f>
        <v/>
      </c>
      <c r="K324" s="26" t="str">
        <f aca="false">IF(I324="","",VLOOKUP(I324,Каталог!$A:$C,2,0))</f>
        <v/>
      </c>
      <c r="L324" s="22" t="str">
        <f aca="false">IF(I324="","",VLOOKUP(I324,Каталог!$A:$C,3,0))</f>
        <v/>
      </c>
      <c r="M324" s="22" t="str">
        <f aca="false">IF(I324="","",J324*L324)</f>
        <v/>
      </c>
    </row>
    <row r="325" customFormat="false" ht="15" hidden="false" customHeight="false" outlineLevel="0" collapsed="false">
      <c r="A325" s="26" t="str">
        <f aca="false">IF(B325="","",6)</f>
        <v/>
      </c>
      <c r="B325" s="21" t="str">
        <f aca="false" t="array" ref="B325:B325">IFERROR(INDEX(Заказы!$A$3:$A$29,SMALL(IF(Заказы!$R$3:$R$29&gt;0,ROW(Заказы!$R$3:$R$29)-ROW(R$3)+1),6)),"")</f>
        <v/>
      </c>
      <c r="C325" s="26" t="str">
        <f aca="false">IF(B325="","",INDEX(Заказы!$R$3:$R$29,MATCH(B325,Заказы!$A$3:$A$29,0)))</f>
        <v/>
      </c>
      <c r="D325" s="26" t="str">
        <f aca="false">IF(B325="","",VLOOKUP(B325,Каталог!$A:$C,2,0))</f>
        <v/>
      </c>
      <c r="E325" s="22" t="str">
        <f aca="false">IF(B325="","",VLOOKUP(B325,Каталог!$A:$C,3,0))</f>
        <v/>
      </c>
      <c r="F325" s="22" t="str">
        <f aca="false">IF(B325="","",C325*E325)</f>
        <v/>
      </c>
      <c r="H325" s="26" t="str">
        <f aca="false">IF(I325="","",6)</f>
        <v/>
      </c>
      <c r="I325" s="21" t="str">
        <f aca="false" t="array" ref="I325:I325">IFERROR(INDEX(Заказы!$A$3:$A$29,SMALL(IF(Заказы!$S$3:$S$29&gt;0,ROW(Заказы!$S$3:$S$29)-ROW(S$3)+1),6)),"")</f>
        <v/>
      </c>
      <c r="J325" s="26" t="str">
        <f aca="false">IF(I325="","",INDEX(Заказы!$S$3:$S$29,MATCH(I325,Заказы!$A$3:$A$29,0)))</f>
        <v/>
      </c>
      <c r="K325" s="26" t="str">
        <f aca="false">IF(I325="","",VLOOKUP(I325,Каталог!$A:$C,2,0))</f>
        <v/>
      </c>
      <c r="L325" s="22" t="str">
        <f aca="false">IF(I325="","",VLOOKUP(I325,Каталог!$A:$C,3,0))</f>
        <v/>
      </c>
      <c r="M325" s="22" t="str">
        <f aca="false">IF(I325="","",J325*L325)</f>
        <v/>
      </c>
    </row>
    <row r="326" customFormat="false" ht="15" hidden="false" customHeight="false" outlineLevel="0" collapsed="false">
      <c r="A326" s="26" t="str">
        <f aca="false">IF(B326="","",7)</f>
        <v/>
      </c>
      <c r="B326" s="21" t="str">
        <f aca="false" t="array" ref="B326:B326">IFERROR(INDEX(Заказы!$A$3:$A$29,SMALL(IF(Заказы!$R$3:$R$29&gt;0,ROW(Заказы!$R$3:$R$29)-ROW(R$3)+1),7)),"")</f>
        <v/>
      </c>
      <c r="C326" s="26" t="str">
        <f aca="false">IF(B326="","",INDEX(Заказы!$R$3:$R$29,MATCH(B326,Заказы!$A$3:$A$29,0)))</f>
        <v/>
      </c>
      <c r="D326" s="26" t="str">
        <f aca="false">IF(B326="","",VLOOKUP(B326,Каталог!$A:$C,2,0))</f>
        <v/>
      </c>
      <c r="E326" s="22" t="str">
        <f aca="false">IF(B326="","",VLOOKUP(B326,Каталог!$A:$C,3,0))</f>
        <v/>
      </c>
      <c r="F326" s="22" t="str">
        <f aca="false">IF(B326="","",C326*E326)</f>
        <v/>
      </c>
      <c r="H326" s="26" t="str">
        <f aca="false">IF(I326="","",7)</f>
        <v/>
      </c>
      <c r="I326" s="21" t="str">
        <f aca="false" t="array" ref="I326:I326">IFERROR(INDEX(Заказы!$A$3:$A$29,SMALL(IF(Заказы!$S$3:$S$29&gt;0,ROW(Заказы!$S$3:$S$29)-ROW(S$3)+1),7)),"")</f>
        <v/>
      </c>
      <c r="J326" s="26" t="str">
        <f aca="false">IF(I326="","",INDEX(Заказы!$S$3:$S$29,MATCH(I326,Заказы!$A$3:$A$29,0)))</f>
        <v/>
      </c>
      <c r="K326" s="26" t="str">
        <f aca="false">IF(I326="","",VLOOKUP(I326,Каталог!$A:$C,2,0))</f>
        <v/>
      </c>
      <c r="L326" s="22" t="str">
        <f aca="false">IF(I326="","",VLOOKUP(I326,Каталог!$A:$C,3,0))</f>
        <v/>
      </c>
      <c r="M326" s="22" t="str">
        <f aca="false">IF(I326="","",J326*L326)</f>
        <v/>
      </c>
    </row>
    <row r="327" customFormat="false" ht="15" hidden="false" customHeight="false" outlineLevel="0" collapsed="false">
      <c r="A327" s="26" t="str">
        <f aca="false">IF(B327="","",8)</f>
        <v/>
      </c>
      <c r="B327" s="21" t="str">
        <f aca="false" t="array" ref="B327:B327">IFERROR(INDEX(Заказы!$A$3:$A$29,SMALL(IF(Заказы!$R$3:$R$29&gt;0,ROW(Заказы!$R$3:$R$29)-ROW(R$3)+1),8)),"")</f>
        <v/>
      </c>
      <c r="C327" s="26" t="str">
        <f aca="false">IF(B327="","",INDEX(Заказы!$R$3:$R$29,MATCH(B327,Заказы!$A$3:$A$29,0)))</f>
        <v/>
      </c>
      <c r="D327" s="26" t="str">
        <f aca="false">IF(B327="","",VLOOKUP(B327,Каталог!$A:$C,2,0))</f>
        <v/>
      </c>
      <c r="E327" s="22" t="str">
        <f aca="false">IF(B327="","",VLOOKUP(B327,Каталог!$A:$C,3,0))</f>
        <v/>
      </c>
      <c r="F327" s="22" t="str">
        <f aca="false">IF(B327="","",C327*E327)</f>
        <v/>
      </c>
      <c r="H327" s="26" t="str">
        <f aca="false">IF(I327="","",8)</f>
        <v/>
      </c>
      <c r="I327" s="21" t="str">
        <f aca="false" t="array" ref="I327:I327">IFERROR(INDEX(Заказы!$A$3:$A$29,SMALL(IF(Заказы!$S$3:$S$29&gt;0,ROW(Заказы!$S$3:$S$29)-ROW(S$3)+1),8)),"")</f>
        <v/>
      </c>
      <c r="J327" s="26" t="str">
        <f aca="false">IF(I327="","",INDEX(Заказы!$S$3:$S$29,MATCH(I327,Заказы!$A$3:$A$29,0)))</f>
        <v/>
      </c>
      <c r="K327" s="26" t="str">
        <f aca="false">IF(I327="","",VLOOKUP(I327,Каталог!$A:$C,2,0))</f>
        <v/>
      </c>
      <c r="L327" s="22" t="str">
        <f aca="false">IF(I327="","",VLOOKUP(I327,Каталог!$A:$C,3,0))</f>
        <v/>
      </c>
      <c r="M327" s="22" t="str">
        <f aca="false">IF(I327="","",J327*L327)</f>
        <v/>
      </c>
    </row>
    <row r="328" customFormat="false" ht="15" hidden="false" customHeight="false" outlineLevel="0" collapsed="false">
      <c r="A328" s="26" t="str">
        <f aca="false">IF(B328="","",9)</f>
        <v/>
      </c>
      <c r="B328" s="21" t="str">
        <f aca="false" t="array" ref="B328:B328">IFERROR(INDEX(Заказы!$A$3:$A$29,SMALL(IF(Заказы!$R$3:$R$29&gt;0,ROW(Заказы!$R$3:$R$29)-ROW(R$3)+1),9)),"")</f>
        <v/>
      </c>
      <c r="C328" s="26" t="str">
        <f aca="false">IF(B328="","",INDEX(Заказы!$R$3:$R$29,MATCH(B328,Заказы!$A$3:$A$29,0)))</f>
        <v/>
      </c>
      <c r="D328" s="26" t="str">
        <f aca="false">IF(B328="","",VLOOKUP(B328,Каталог!$A:$C,2,0))</f>
        <v/>
      </c>
      <c r="E328" s="22" t="str">
        <f aca="false">IF(B328="","",VLOOKUP(B328,Каталог!$A:$C,3,0))</f>
        <v/>
      </c>
      <c r="F328" s="22" t="str">
        <f aca="false">IF(B328="","",C328*E328)</f>
        <v/>
      </c>
      <c r="H328" s="26" t="str">
        <f aca="false">IF(I328="","",9)</f>
        <v/>
      </c>
      <c r="I328" s="21" t="str">
        <f aca="false" t="array" ref="I328:I328">IFERROR(INDEX(Заказы!$A$3:$A$29,SMALL(IF(Заказы!$S$3:$S$29&gt;0,ROW(Заказы!$S$3:$S$29)-ROW(S$3)+1),9)),"")</f>
        <v/>
      </c>
      <c r="J328" s="26" t="str">
        <f aca="false">IF(I328="","",INDEX(Заказы!$S$3:$S$29,MATCH(I328,Заказы!$A$3:$A$29,0)))</f>
        <v/>
      </c>
      <c r="K328" s="26" t="str">
        <f aca="false">IF(I328="","",VLOOKUP(I328,Каталог!$A:$C,2,0))</f>
        <v/>
      </c>
      <c r="L328" s="22" t="str">
        <f aca="false">IF(I328="","",VLOOKUP(I328,Каталог!$A:$C,3,0))</f>
        <v/>
      </c>
      <c r="M328" s="22" t="str">
        <f aca="false">IF(I328="","",J328*L328)</f>
        <v/>
      </c>
    </row>
    <row r="329" customFormat="false" ht="15" hidden="false" customHeight="false" outlineLevel="0" collapsed="false">
      <c r="A329" s="26" t="str">
        <f aca="false">IF(B329="","",10)</f>
        <v/>
      </c>
      <c r="B329" s="21" t="str">
        <f aca="false" t="array" ref="B329:B329">IFERROR(INDEX(Заказы!$A$3:$A$29,SMALL(IF(Заказы!$R$3:$R$29&gt;0,ROW(Заказы!$R$3:$R$29)-ROW(R$3)+1),10)),"")</f>
        <v/>
      </c>
      <c r="C329" s="26" t="str">
        <f aca="false">IF(B329="","",INDEX(Заказы!$R$3:$R$29,MATCH(B329,Заказы!$A$3:$A$29,0)))</f>
        <v/>
      </c>
      <c r="D329" s="26" t="str">
        <f aca="false">IF(B329="","",VLOOKUP(B329,Каталог!$A:$C,2,0))</f>
        <v/>
      </c>
      <c r="E329" s="22" t="str">
        <f aca="false">IF(B329="","",VLOOKUP(B329,Каталог!$A:$C,3,0))</f>
        <v/>
      </c>
      <c r="F329" s="22" t="str">
        <f aca="false">IF(B329="","",C329*E329)</f>
        <v/>
      </c>
      <c r="H329" s="26" t="str">
        <f aca="false">IF(I329="","",10)</f>
        <v/>
      </c>
      <c r="I329" s="21" t="str">
        <f aca="false" t="array" ref="I329:I329">IFERROR(INDEX(Заказы!$A$3:$A$29,SMALL(IF(Заказы!$S$3:$S$29&gt;0,ROW(Заказы!$S$3:$S$29)-ROW(S$3)+1),10)),"")</f>
        <v/>
      </c>
      <c r="J329" s="26" t="str">
        <f aca="false">IF(I329="","",INDEX(Заказы!$S$3:$S$29,MATCH(I329,Заказы!$A$3:$A$29,0)))</f>
        <v/>
      </c>
      <c r="K329" s="26" t="str">
        <f aca="false">IF(I329="","",VLOOKUP(I329,Каталог!$A:$C,2,0))</f>
        <v/>
      </c>
      <c r="L329" s="22" t="str">
        <f aca="false">IF(I329="","",VLOOKUP(I329,Каталог!$A:$C,3,0))</f>
        <v/>
      </c>
      <c r="M329" s="22" t="str">
        <f aca="false">IF(I329="","",J329*L329)</f>
        <v/>
      </c>
    </row>
    <row r="330" customFormat="false" ht="15" hidden="false" customHeight="false" outlineLevel="0" collapsed="false">
      <c r="A330" s="26" t="str">
        <f aca="false">IF(B330="","",11)</f>
        <v/>
      </c>
      <c r="B330" s="21" t="str">
        <f aca="false" t="array" ref="B330:B330">IFERROR(INDEX(Заказы!$A$3:$A$29,SMALL(IF(Заказы!$R$3:$R$29&gt;0,ROW(Заказы!$R$3:$R$29)-ROW(R$3)+1),11)),"")</f>
        <v/>
      </c>
      <c r="C330" s="26" t="str">
        <f aca="false">IF(B330="","",INDEX(Заказы!$R$3:$R$29,MATCH(B330,Заказы!$A$3:$A$29,0)))</f>
        <v/>
      </c>
      <c r="D330" s="26" t="str">
        <f aca="false">IF(B330="","",VLOOKUP(B330,Каталог!$A:$C,2,0))</f>
        <v/>
      </c>
      <c r="E330" s="22" t="str">
        <f aca="false">IF(B330="","",VLOOKUP(B330,Каталог!$A:$C,3,0))</f>
        <v/>
      </c>
      <c r="F330" s="22" t="str">
        <f aca="false">IF(B330="","",C330*E330)</f>
        <v/>
      </c>
      <c r="H330" s="26" t="str">
        <f aca="false">IF(I330="","",11)</f>
        <v/>
      </c>
      <c r="I330" s="21" t="str">
        <f aca="false" t="array" ref="I330:I330">IFERROR(INDEX(Заказы!$A$3:$A$29,SMALL(IF(Заказы!$S$3:$S$29&gt;0,ROW(Заказы!$S$3:$S$29)-ROW(S$3)+1),11)),"")</f>
        <v/>
      </c>
      <c r="J330" s="26" t="str">
        <f aca="false">IF(I330="","",INDEX(Заказы!$S$3:$S$29,MATCH(I330,Заказы!$A$3:$A$29,0)))</f>
        <v/>
      </c>
      <c r="K330" s="26" t="str">
        <f aca="false">IF(I330="","",VLOOKUP(I330,Каталог!$A:$C,2,0))</f>
        <v/>
      </c>
      <c r="L330" s="22" t="str">
        <f aca="false">IF(I330="","",VLOOKUP(I330,Каталог!$A:$C,3,0))</f>
        <v/>
      </c>
      <c r="M330" s="22" t="str">
        <f aca="false">IF(I330="","",J330*L330)</f>
        <v/>
      </c>
    </row>
    <row r="331" customFormat="false" ht="15" hidden="false" customHeight="false" outlineLevel="0" collapsed="false">
      <c r="A331" s="26" t="str">
        <f aca="false">IF(B331="","",12)</f>
        <v/>
      </c>
      <c r="B331" s="21" t="str">
        <f aca="false" t="array" ref="B331:B331">IFERROR(INDEX(Заказы!$A$3:$A$29,SMALL(IF(Заказы!$R$3:$R$29&gt;0,ROW(Заказы!$R$3:$R$29)-ROW(R$3)+1),12)),"")</f>
        <v/>
      </c>
      <c r="C331" s="26" t="str">
        <f aca="false">IF(B331="","",INDEX(Заказы!$R$3:$R$29,MATCH(B331,Заказы!$A$3:$A$29,0)))</f>
        <v/>
      </c>
      <c r="D331" s="26" t="str">
        <f aca="false">IF(B331="","",VLOOKUP(B331,Каталог!$A:$C,2,0))</f>
        <v/>
      </c>
      <c r="E331" s="22" t="str">
        <f aca="false">IF(B331="","",VLOOKUP(B331,Каталог!$A:$C,3,0))</f>
        <v/>
      </c>
      <c r="F331" s="22" t="str">
        <f aca="false">IF(B331="","",C331*E331)</f>
        <v/>
      </c>
      <c r="H331" s="26" t="str">
        <f aca="false">IF(I331="","",12)</f>
        <v/>
      </c>
      <c r="I331" s="21" t="str">
        <f aca="false" t="array" ref="I331:I331">IFERROR(INDEX(Заказы!$A$3:$A$29,SMALL(IF(Заказы!$S$3:$S$29&gt;0,ROW(Заказы!$S$3:$S$29)-ROW(S$3)+1),12)),"")</f>
        <v/>
      </c>
      <c r="J331" s="26" t="str">
        <f aca="false">IF(I331="","",INDEX(Заказы!$S$3:$S$29,MATCH(I331,Заказы!$A$3:$A$29,0)))</f>
        <v/>
      </c>
      <c r="K331" s="26" t="str">
        <f aca="false">IF(I331="","",VLOOKUP(I331,Каталог!$A:$C,2,0))</f>
        <v/>
      </c>
      <c r="L331" s="22" t="str">
        <f aca="false">IF(I331="","",VLOOKUP(I331,Каталог!$A:$C,3,0))</f>
        <v/>
      </c>
      <c r="M331" s="22" t="str">
        <f aca="false">IF(I331="","",J331*L331)</f>
        <v/>
      </c>
    </row>
    <row r="332" customFormat="false" ht="15" hidden="false" customHeight="false" outlineLevel="0" collapsed="false">
      <c r="A332" s="26" t="str">
        <f aca="false">IF(B332="","",13)</f>
        <v/>
      </c>
      <c r="B332" s="21" t="str">
        <f aca="false" t="array" ref="B332:B332">IFERROR(INDEX(Заказы!$A$3:$A$29,SMALL(IF(Заказы!$R$3:$R$29&gt;0,ROW(Заказы!$R$3:$R$29)-ROW(R$3)+1),13)),"")</f>
        <v/>
      </c>
      <c r="C332" s="26" t="str">
        <f aca="false">IF(B332="","",INDEX(Заказы!$R$3:$R$29,MATCH(B332,Заказы!$A$3:$A$29,0)))</f>
        <v/>
      </c>
      <c r="D332" s="26" t="str">
        <f aca="false">IF(B332="","",VLOOKUP(B332,Каталог!$A:$C,2,0))</f>
        <v/>
      </c>
      <c r="E332" s="22" t="str">
        <f aca="false">IF(B332="","",VLOOKUP(B332,Каталог!$A:$C,3,0))</f>
        <v/>
      </c>
      <c r="F332" s="22" t="str">
        <f aca="false">IF(B332="","",C332*E332)</f>
        <v/>
      </c>
      <c r="H332" s="26" t="str">
        <f aca="false">IF(I332="","",13)</f>
        <v/>
      </c>
      <c r="I332" s="21" t="str">
        <f aca="false" t="array" ref="I332:I332">IFERROR(INDEX(Заказы!$A$3:$A$29,SMALL(IF(Заказы!$S$3:$S$29&gt;0,ROW(Заказы!$S$3:$S$29)-ROW(S$3)+1),13)),"")</f>
        <v/>
      </c>
      <c r="J332" s="26" t="str">
        <f aca="false">IF(I332="","",INDEX(Заказы!$S$3:$S$29,MATCH(I332,Заказы!$A$3:$A$29,0)))</f>
        <v/>
      </c>
      <c r="K332" s="26" t="str">
        <f aca="false">IF(I332="","",VLOOKUP(I332,Каталог!$A:$C,2,0))</f>
        <v/>
      </c>
      <c r="L332" s="22" t="str">
        <f aca="false">IF(I332="","",VLOOKUP(I332,Каталог!$A:$C,3,0))</f>
        <v/>
      </c>
      <c r="M332" s="22" t="str">
        <f aca="false">IF(I332="","",J332*L332)</f>
        <v/>
      </c>
    </row>
    <row r="333" customFormat="false" ht="15" hidden="false" customHeight="false" outlineLevel="0" collapsed="false">
      <c r="A333" s="26" t="str">
        <f aca="false">IF(B333="","",14)</f>
        <v/>
      </c>
      <c r="B333" s="21" t="str">
        <f aca="false" t="array" ref="B333:B333">IFERROR(INDEX(Заказы!$A$3:$A$29,SMALL(IF(Заказы!$R$3:$R$29&gt;0,ROW(Заказы!$R$3:$R$29)-ROW(R$3)+1),14)),"")</f>
        <v/>
      </c>
      <c r="C333" s="26" t="str">
        <f aca="false">IF(B333="","",INDEX(Заказы!$R$3:$R$29,MATCH(B333,Заказы!$A$3:$A$29,0)))</f>
        <v/>
      </c>
      <c r="D333" s="26" t="str">
        <f aca="false">IF(B333="","",VLOOKUP(B333,Каталог!$A:$C,2,0))</f>
        <v/>
      </c>
      <c r="E333" s="22" t="str">
        <f aca="false">IF(B333="","",VLOOKUP(B333,Каталог!$A:$C,3,0))</f>
        <v/>
      </c>
      <c r="F333" s="22" t="str">
        <f aca="false">IF(B333="","",C333*E333)</f>
        <v/>
      </c>
      <c r="H333" s="26" t="str">
        <f aca="false">IF(I333="","",14)</f>
        <v/>
      </c>
      <c r="I333" s="21" t="str">
        <f aca="false" t="array" ref="I333:I333">IFERROR(INDEX(Заказы!$A$3:$A$29,SMALL(IF(Заказы!$S$3:$S$29&gt;0,ROW(Заказы!$S$3:$S$29)-ROW(S$3)+1),14)),"")</f>
        <v/>
      </c>
      <c r="J333" s="26" t="str">
        <f aca="false">IF(I333="","",INDEX(Заказы!$S$3:$S$29,MATCH(I333,Заказы!$A$3:$A$29,0)))</f>
        <v/>
      </c>
      <c r="K333" s="26" t="str">
        <f aca="false">IF(I333="","",VLOOKUP(I333,Каталог!$A:$C,2,0))</f>
        <v/>
      </c>
      <c r="L333" s="22" t="str">
        <f aca="false">IF(I333="","",VLOOKUP(I333,Каталог!$A:$C,3,0))</f>
        <v/>
      </c>
      <c r="M333" s="22" t="str">
        <f aca="false">IF(I333="","",J333*L333)</f>
        <v/>
      </c>
    </row>
    <row r="334" customFormat="false" ht="15" hidden="false" customHeight="false" outlineLevel="0" collapsed="false">
      <c r="A334" s="26" t="str">
        <f aca="false">IF(B334="","",15)</f>
        <v/>
      </c>
      <c r="B334" s="21" t="str">
        <f aca="false" t="array" ref="B334:B334">IFERROR(INDEX(Заказы!$A$3:$A$29,SMALL(IF(Заказы!$R$3:$R$29&gt;0,ROW(Заказы!$R$3:$R$29)-ROW(R$3)+1),15)),"")</f>
        <v/>
      </c>
      <c r="C334" s="26" t="str">
        <f aca="false">IF(B334="","",INDEX(Заказы!$R$3:$R$29,MATCH(B334,Заказы!$A$3:$A$29,0)))</f>
        <v/>
      </c>
      <c r="D334" s="26" t="str">
        <f aca="false">IF(B334="","",VLOOKUP(B334,Каталог!$A:$C,2,0))</f>
        <v/>
      </c>
      <c r="E334" s="22" t="str">
        <f aca="false">IF(B334="","",VLOOKUP(B334,Каталог!$A:$C,3,0))</f>
        <v/>
      </c>
      <c r="F334" s="22" t="str">
        <f aca="false">IF(B334="","",C334*E334)</f>
        <v/>
      </c>
      <c r="H334" s="26" t="str">
        <f aca="false">IF(I334="","",15)</f>
        <v/>
      </c>
      <c r="I334" s="21" t="str">
        <f aca="false" t="array" ref="I334:I334">IFERROR(INDEX(Заказы!$A$3:$A$29,SMALL(IF(Заказы!$S$3:$S$29&gt;0,ROW(Заказы!$S$3:$S$29)-ROW(S$3)+1),15)),"")</f>
        <v/>
      </c>
      <c r="J334" s="26" t="str">
        <f aca="false">IF(I334="","",INDEX(Заказы!$S$3:$S$29,MATCH(I334,Заказы!$A$3:$A$29,0)))</f>
        <v/>
      </c>
      <c r="K334" s="26" t="str">
        <f aca="false">IF(I334="","",VLOOKUP(I334,Каталог!$A:$C,2,0))</f>
        <v/>
      </c>
      <c r="L334" s="22" t="str">
        <f aca="false">IF(I334="","",VLOOKUP(I334,Каталог!$A:$C,3,0))</f>
        <v/>
      </c>
      <c r="M334" s="22" t="str">
        <f aca="false">IF(I334="","",J334*L334)</f>
        <v/>
      </c>
    </row>
    <row r="335" customFormat="false" ht="15" hidden="false" customHeight="false" outlineLevel="0" collapsed="false">
      <c r="A335" s="26" t="str">
        <f aca="false">IF(B335="","",16)</f>
        <v/>
      </c>
      <c r="B335" s="21" t="str">
        <f aca="false" t="array" ref="B335:B335">IFERROR(INDEX(Заказы!$A$3:$A$29,SMALL(IF(Заказы!$R$3:$R$29&gt;0,ROW(Заказы!$R$3:$R$29)-ROW(R$3)+1),16)),"")</f>
        <v/>
      </c>
      <c r="C335" s="26" t="str">
        <f aca="false">IF(B335="","",INDEX(Заказы!$R$3:$R$29,MATCH(B335,Заказы!$A$3:$A$29,0)))</f>
        <v/>
      </c>
      <c r="D335" s="26" t="str">
        <f aca="false">IF(B335="","",VLOOKUP(B335,Каталог!$A:$C,2,0))</f>
        <v/>
      </c>
      <c r="E335" s="22" t="str">
        <f aca="false">IF(B335="","",VLOOKUP(B335,Каталог!$A:$C,3,0))</f>
        <v/>
      </c>
      <c r="F335" s="22" t="str">
        <f aca="false">IF(B335="","",C335*E335)</f>
        <v/>
      </c>
      <c r="H335" s="26" t="str">
        <f aca="false">IF(I335="","",16)</f>
        <v/>
      </c>
      <c r="I335" s="21" t="str">
        <f aca="false" t="array" ref="I335:I335">IFERROR(INDEX(Заказы!$A$3:$A$29,SMALL(IF(Заказы!$S$3:$S$29&gt;0,ROW(Заказы!$S$3:$S$29)-ROW(S$3)+1),16)),"")</f>
        <v/>
      </c>
      <c r="J335" s="26" t="str">
        <f aca="false">IF(I335="","",INDEX(Заказы!$S$3:$S$29,MATCH(I335,Заказы!$A$3:$A$29,0)))</f>
        <v/>
      </c>
      <c r="K335" s="26" t="str">
        <f aca="false">IF(I335="","",VLOOKUP(I335,Каталог!$A:$C,2,0))</f>
        <v/>
      </c>
      <c r="L335" s="22" t="str">
        <f aca="false">IF(I335="","",VLOOKUP(I335,Каталог!$A:$C,3,0))</f>
        <v/>
      </c>
      <c r="M335" s="22" t="str">
        <f aca="false">IF(I335="","",J335*L335)</f>
        <v/>
      </c>
    </row>
    <row r="336" customFormat="false" ht="15" hidden="false" customHeight="false" outlineLevel="0" collapsed="false">
      <c r="A336" s="26" t="str">
        <f aca="false">IF(B336="","",17)</f>
        <v/>
      </c>
      <c r="B336" s="21" t="str">
        <f aca="false" t="array" ref="B336:B336">IFERROR(INDEX(Заказы!$A$3:$A$29,SMALL(IF(Заказы!$R$3:$R$29&gt;0,ROW(Заказы!$R$3:$R$29)-ROW(R$3)+1),17)),"")</f>
        <v/>
      </c>
      <c r="C336" s="26" t="str">
        <f aca="false">IF(B336="","",INDEX(Заказы!$R$3:$R$29,MATCH(B336,Заказы!$A$3:$A$29,0)))</f>
        <v/>
      </c>
      <c r="D336" s="26" t="str">
        <f aca="false">IF(B336="","",VLOOKUP(B336,Каталог!$A:$C,2,0))</f>
        <v/>
      </c>
      <c r="E336" s="22" t="str">
        <f aca="false">IF(B336="","",VLOOKUP(B336,Каталог!$A:$C,3,0))</f>
        <v/>
      </c>
      <c r="F336" s="22" t="str">
        <f aca="false">IF(B336="","",C336*E336)</f>
        <v/>
      </c>
      <c r="H336" s="26" t="str">
        <f aca="false">IF(I336="","",17)</f>
        <v/>
      </c>
      <c r="I336" s="21" t="str">
        <f aca="false" t="array" ref="I336:I336">IFERROR(INDEX(Заказы!$A$3:$A$29,SMALL(IF(Заказы!$S$3:$S$29&gt;0,ROW(Заказы!$S$3:$S$29)-ROW(S$3)+1),17)),"")</f>
        <v/>
      </c>
      <c r="J336" s="26" t="str">
        <f aca="false">IF(I336="","",INDEX(Заказы!$S$3:$S$29,MATCH(I336,Заказы!$A$3:$A$29,0)))</f>
        <v/>
      </c>
      <c r="K336" s="26" t="str">
        <f aca="false">IF(I336="","",VLOOKUP(I336,Каталог!$A:$C,2,0))</f>
        <v/>
      </c>
      <c r="L336" s="22" t="str">
        <f aca="false">IF(I336="","",VLOOKUP(I336,Каталог!$A:$C,3,0))</f>
        <v/>
      </c>
      <c r="M336" s="22" t="str">
        <f aca="false">IF(I336="","",J336*L336)</f>
        <v/>
      </c>
    </row>
    <row r="337" customFormat="false" ht="15" hidden="false" customHeight="false" outlineLevel="0" collapsed="false">
      <c r="A337" s="26" t="str">
        <f aca="false">IF(B337="","",18)</f>
        <v/>
      </c>
      <c r="B337" s="21" t="str">
        <f aca="false" t="array" ref="B337:B337">IFERROR(INDEX(Заказы!$A$3:$A$29,SMALL(IF(Заказы!$R$3:$R$29&gt;0,ROW(Заказы!$R$3:$R$29)-ROW(R$3)+1),18)),"")</f>
        <v/>
      </c>
      <c r="C337" s="26" t="str">
        <f aca="false">IF(B337="","",INDEX(Заказы!$R$3:$R$29,MATCH(B337,Заказы!$A$3:$A$29,0)))</f>
        <v/>
      </c>
      <c r="D337" s="26" t="str">
        <f aca="false">IF(B337="","",VLOOKUP(B337,Каталог!$A:$C,2,0))</f>
        <v/>
      </c>
      <c r="E337" s="22" t="str">
        <f aca="false">IF(B337="","",VLOOKUP(B337,Каталог!$A:$C,3,0))</f>
        <v/>
      </c>
      <c r="F337" s="22" t="str">
        <f aca="false">IF(B337="","",C337*E337)</f>
        <v/>
      </c>
      <c r="H337" s="26" t="str">
        <f aca="false">IF(I337="","",18)</f>
        <v/>
      </c>
      <c r="I337" s="21" t="str">
        <f aca="false" t="array" ref="I337:I337">IFERROR(INDEX(Заказы!$A$3:$A$29,SMALL(IF(Заказы!$S$3:$S$29&gt;0,ROW(Заказы!$S$3:$S$29)-ROW(S$3)+1),18)),"")</f>
        <v/>
      </c>
      <c r="J337" s="26" t="str">
        <f aca="false">IF(I337="","",INDEX(Заказы!$S$3:$S$29,MATCH(I337,Заказы!$A$3:$A$29,0)))</f>
        <v/>
      </c>
      <c r="K337" s="26" t="str">
        <f aca="false">IF(I337="","",VLOOKUP(I337,Каталог!$A:$C,2,0))</f>
        <v/>
      </c>
      <c r="L337" s="22" t="str">
        <f aca="false">IF(I337="","",VLOOKUP(I337,Каталог!$A:$C,3,0))</f>
        <v/>
      </c>
      <c r="M337" s="22" t="str">
        <f aca="false">IF(I337="","",J337*L337)</f>
        <v/>
      </c>
    </row>
    <row r="338" customFormat="false" ht="15" hidden="false" customHeight="false" outlineLevel="0" collapsed="false">
      <c r="A338" s="26" t="str">
        <f aca="false">IF(B338="","",19)</f>
        <v/>
      </c>
      <c r="B338" s="21" t="str">
        <f aca="false" t="array" ref="B338:B338">IFERROR(INDEX(Заказы!$A$3:$A$29,SMALL(IF(Заказы!$R$3:$R$29&gt;0,ROW(Заказы!$R$3:$R$29)-ROW(R$3)+1),19)),"")</f>
        <v/>
      </c>
      <c r="C338" s="26" t="str">
        <f aca="false">IF(B338="","",INDEX(Заказы!$R$3:$R$29,MATCH(B338,Заказы!$A$3:$A$29,0)))</f>
        <v/>
      </c>
      <c r="D338" s="26" t="str">
        <f aca="false">IF(B338="","",VLOOKUP(B338,Каталог!$A:$C,2,0))</f>
        <v/>
      </c>
      <c r="E338" s="22" t="str">
        <f aca="false">IF(B338="","",VLOOKUP(B338,Каталог!$A:$C,3,0))</f>
        <v/>
      </c>
      <c r="F338" s="22" t="str">
        <f aca="false">IF(B338="","",C338*E338)</f>
        <v/>
      </c>
      <c r="H338" s="26" t="str">
        <f aca="false">IF(I338="","",19)</f>
        <v/>
      </c>
      <c r="I338" s="21" t="str">
        <f aca="false" t="array" ref="I338:I338">IFERROR(INDEX(Заказы!$A$3:$A$29,SMALL(IF(Заказы!$S$3:$S$29&gt;0,ROW(Заказы!$S$3:$S$29)-ROW(S$3)+1),19)),"")</f>
        <v/>
      </c>
      <c r="J338" s="26" t="str">
        <f aca="false">IF(I338="","",INDEX(Заказы!$S$3:$S$29,MATCH(I338,Заказы!$A$3:$A$29,0)))</f>
        <v/>
      </c>
      <c r="K338" s="26" t="str">
        <f aca="false">IF(I338="","",VLOOKUP(I338,Каталог!$A:$C,2,0))</f>
        <v/>
      </c>
      <c r="L338" s="22" t="str">
        <f aca="false">IF(I338="","",VLOOKUP(I338,Каталог!$A:$C,3,0))</f>
        <v/>
      </c>
      <c r="M338" s="22" t="str">
        <f aca="false">IF(I338="","",J338*L338)</f>
        <v/>
      </c>
    </row>
    <row r="339" customFormat="false" ht="15" hidden="false" customHeight="false" outlineLevel="0" collapsed="false">
      <c r="A339" s="26" t="str">
        <f aca="false">IF(B339="","",20)</f>
        <v/>
      </c>
      <c r="B339" s="21" t="str">
        <f aca="false" t="array" ref="B339:B339">IFERROR(INDEX(Заказы!$A$3:$A$29,SMALL(IF(Заказы!$R$3:$R$29&gt;0,ROW(Заказы!$R$3:$R$29)-ROW(R$3)+1),20)),"")</f>
        <v/>
      </c>
      <c r="C339" s="26" t="str">
        <f aca="false">IF(B339="","",INDEX(Заказы!$R$3:$R$29,MATCH(B339,Заказы!$A$3:$A$29,0)))</f>
        <v/>
      </c>
      <c r="D339" s="26" t="str">
        <f aca="false">IF(B339="","",VLOOKUP(B339,Каталог!$A:$C,2,0))</f>
        <v/>
      </c>
      <c r="E339" s="22" t="str">
        <f aca="false">IF(B339="","",VLOOKUP(B339,Каталог!$A:$C,3,0))</f>
        <v/>
      </c>
      <c r="F339" s="22" t="str">
        <f aca="false">IF(B339="","",C339*E339)</f>
        <v/>
      </c>
      <c r="H339" s="26" t="str">
        <f aca="false">IF(I339="","",20)</f>
        <v/>
      </c>
      <c r="I339" s="21" t="str">
        <f aca="false" t="array" ref="I339:I339">IFERROR(INDEX(Заказы!$A$3:$A$29,SMALL(IF(Заказы!$S$3:$S$29&gt;0,ROW(Заказы!$S$3:$S$29)-ROW(S$3)+1),20)),"")</f>
        <v/>
      </c>
      <c r="J339" s="26" t="str">
        <f aca="false">IF(I339="","",INDEX(Заказы!$S$3:$S$29,MATCH(I339,Заказы!$A$3:$A$29,0)))</f>
        <v/>
      </c>
      <c r="K339" s="26" t="str">
        <f aca="false">IF(I339="","",VLOOKUP(I339,Каталог!$A:$C,2,0))</f>
        <v/>
      </c>
      <c r="L339" s="22" t="str">
        <f aca="false">IF(I339="","",VLOOKUP(I339,Каталог!$A:$C,3,0))</f>
        <v/>
      </c>
      <c r="M339" s="22" t="str">
        <f aca="false">IF(I339="","",J339*L339)</f>
        <v/>
      </c>
    </row>
    <row r="340" customFormat="false" ht="15" hidden="false" customHeight="false" outlineLevel="0" collapsed="false">
      <c r="A340" s="26" t="str">
        <f aca="false">IF(B340="","",21)</f>
        <v/>
      </c>
      <c r="B340" s="21" t="str">
        <f aca="false" t="array" ref="B340:B340">IFERROR(INDEX(Заказы!$A$3:$A$29,SMALL(IF(Заказы!$R$3:$R$29&gt;0,ROW(Заказы!$R$3:$R$29)-ROW(R$3)+1),21)),"")</f>
        <v/>
      </c>
      <c r="C340" s="26" t="str">
        <f aca="false">IF(B340="","",INDEX(Заказы!$R$3:$R$29,MATCH(B340,Заказы!$A$3:$A$29,0)))</f>
        <v/>
      </c>
      <c r="D340" s="26" t="str">
        <f aca="false">IF(B340="","",VLOOKUP(B340,Каталог!$A:$C,2,0))</f>
        <v/>
      </c>
      <c r="E340" s="22" t="str">
        <f aca="false">IF(B340="","",VLOOKUP(B340,Каталог!$A:$C,3,0))</f>
        <v/>
      </c>
      <c r="F340" s="22" t="str">
        <f aca="false">IF(B340="","",C340*E340)</f>
        <v/>
      </c>
      <c r="H340" s="26" t="str">
        <f aca="false">IF(I340="","",21)</f>
        <v/>
      </c>
      <c r="I340" s="21" t="str">
        <f aca="false" t="array" ref="I340:I340">IFERROR(INDEX(Заказы!$A$3:$A$29,SMALL(IF(Заказы!$S$3:$S$29&gt;0,ROW(Заказы!$S$3:$S$29)-ROW(S$3)+1),21)),"")</f>
        <v/>
      </c>
      <c r="J340" s="26" t="str">
        <f aca="false">IF(I340="","",INDEX(Заказы!$S$3:$S$29,MATCH(I340,Заказы!$A$3:$A$29,0)))</f>
        <v/>
      </c>
      <c r="K340" s="26" t="str">
        <f aca="false">IF(I340="","",VLOOKUP(I340,Каталог!$A:$C,2,0))</f>
        <v/>
      </c>
      <c r="L340" s="22" t="str">
        <f aca="false">IF(I340="","",VLOOKUP(I340,Каталог!$A:$C,3,0))</f>
        <v/>
      </c>
      <c r="M340" s="22" t="str">
        <f aca="false">IF(I340="","",J340*L340)</f>
        <v/>
      </c>
    </row>
    <row r="341" customFormat="false" ht="15" hidden="false" customHeight="false" outlineLevel="0" collapsed="false">
      <c r="A341" s="26" t="str">
        <f aca="false">IF(B341="","",22)</f>
        <v/>
      </c>
      <c r="B341" s="21" t="str">
        <f aca="false" t="array" ref="B341:B341">IFERROR(INDEX(Заказы!$A$3:$A$29,SMALL(IF(Заказы!$R$3:$R$29&gt;0,ROW(Заказы!$R$3:$R$29)-ROW(R$3)+1),22)),"")</f>
        <v/>
      </c>
      <c r="C341" s="26" t="str">
        <f aca="false">IF(B341="","",INDEX(Заказы!$R$3:$R$29,MATCH(B341,Заказы!$A$3:$A$29,0)))</f>
        <v/>
      </c>
      <c r="D341" s="26" t="str">
        <f aca="false">IF(B341="","",VLOOKUP(B341,Каталог!$A:$C,2,0))</f>
        <v/>
      </c>
      <c r="E341" s="22" t="str">
        <f aca="false">IF(B341="","",VLOOKUP(B341,Каталог!$A:$C,3,0))</f>
        <v/>
      </c>
      <c r="F341" s="22" t="str">
        <f aca="false">IF(B341="","",C341*E341)</f>
        <v/>
      </c>
      <c r="H341" s="26" t="str">
        <f aca="false">IF(I341="","",22)</f>
        <v/>
      </c>
      <c r="I341" s="21" t="str">
        <f aca="false" t="array" ref="I341:I341">IFERROR(INDEX(Заказы!$A$3:$A$29,SMALL(IF(Заказы!$S$3:$S$29&gt;0,ROW(Заказы!$S$3:$S$29)-ROW(S$3)+1),22)),"")</f>
        <v/>
      </c>
      <c r="J341" s="26" t="str">
        <f aca="false">IF(I341="","",INDEX(Заказы!$S$3:$S$29,MATCH(I341,Заказы!$A$3:$A$29,0)))</f>
        <v/>
      </c>
      <c r="K341" s="26" t="str">
        <f aca="false">IF(I341="","",VLOOKUP(I341,Каталог!$A:$C,2,0))</f>
        <v/>
      </c>
      <c r="L341" s="22" t="str">
        <f aca="false">IF(I341="","",VLOOKUP(I341,Каталог!$A:$C,3,0))</f>
        <v/>
      </c>
      <c r="M341" s="22" t="str">
        <f aca="false">IF(I341="","",J341*L341)</f>
        <v/>
      </c>
    </row>
    <row r="342" customFormat="false" ht="15" hidden="false" customHeight="false" outlineLevel="0" collapsed="false">
      <c r="A342" s="26" t="str">
        <f aca="false">IF(B342="","",23)</f>
        <v/>
      </c>
      <c r="B342" s="21" t="str">
        <f aca="false" t="array" ref="B342:B342">IFERROR(INDEX(Заказы!$A$3:$A$29,SMALL(IF(Заказы!$R$3:$R$29&gt;0,ROW(Заказы!$R$3:$R$29)-ROW(R$3)+1),23)),"")</f>
        <v/>
      </c>
      <c r="C342" s="26" t="str">
        <f aca="false">IF(B342="","",INDEX(Заказы!$R$3:$R$29,MATCH(B342,Заказы!$A$3:$A$29,0)))</f>
        <v/>
      </c>
      <c r="D342" s="26" t="str">
        <f aca="false">IF(B342="","",VLOOKUP(B342,Каталог!$A:$C,2,0))</f>
        <v/>
      </c>
      <c r="E342" s="22" t="str">
        <f aca="false">IF(B342="","",VLOOKUP(B342,Каталог!$A:$C,3,0))</f>
        <v/>
      </c>
      <c r="F342" s="22" t="str">
        <f aca="false">IF(B342="","",C342*E342)</f>
        <v/>
      </c>
      <c r="H342" s="26" t="str">
        <f aca="false">IF(I342="","",23)</f>
        <v/>
      </c>
      <c r="I342" s="21" t="str">
        <f aca="false" t="array" ref="I342:I342">IFERROR(INDEX(Заказы!$A$3:$A$29,SMALL(IF(Заказы!$S$3:$S$29&gt;0,ROW(Заказы!$S$3:$S$29)-ROW(S$3)+1),23)),"")</f>
        <v/>
      </c>
      <c r="J342" s="26" t="str">
        <f aca="false">IF(I342="","",INDEX(Заказы!$S$3:$S$29,MATCH(I342,Заказы!$A$3:$A$29,0)))</f>
        <v/>
      </c>
      <c r="K342" s="26" t="str">
        <f aca="false">IF(I342="","",VLOOKUP(I342,Каталог!$A:$C,2,0))</f>
        <v/>
      </c>
      <c r="L342" s="22" t="str">
        <f aca="false">IF(I342="","",VLOOKUP(I342,Каталог!$A:$C,3,0))</f>
        <v/>
      </c>
      <c r="M342" s="22" t="str">
        <f aca="false">IF(I342="","",J342*L342)</f>
        <v/>
      </c>
    </row>
    <row r="343" customFormat="false" ht="15" hidden="false" customHeight="false" outlineLevel="0" collapsed="false">
      <c r="A343" s="26" t="str">
        <f aca="false">IF(B343="","",24)</f>
        <v/>
      </c>
      <c r="B343" s="21" t="str">
        <f aca="false" t="array" ref="B343:B343">IFERROR(INDEX(Заказы!$A$3:$A$29,SMALL(IF(Заказы!$R$3:$R$29&gt;0,ROW(Заказы!$R$3:$R$29)-ROW(R$3)+1),24)),"")</f>
        <v/>
      </c>
      <c r="C343" s="26" t="str">
        <f aca="false">IF(B343="","",INDEX(Заказы!$R$3:$R$29,MATCH(B343,Заказы!$A$3:$A$29,0)))</f>
        <v/>
      </c>
      <c r="D343" s="26" t="str">
        <f aca="false">IF(B343="","",VLOOKUP(B343,Каталог!$A:$C,2,0))</f>
        <v/>
      </c>
      <c r="E343" s="22" t="str">
        <f aca="false">IF(B343="","",VLOOKUP(B343,Каталог!$A:$C,3,0))</f>
        <v/>
      </c>
      <c r="F343" s="22" t="str">
        <f aca="false">IF(B343="","",C343*E343)</f>
        <v/>
      </c>
      <c r="H343" s="26" t="str">
        <f aca="false">IF(I343="","",24)</f>
        <v/>
      </c>
      <c r="I343" s="21" t="str">
        <f aca="false" t="array" ref="I343:I343">IFERROR(INDEX(Заказы!$A$3:$A$29,SMALL(IF(Заказы!$S$3:$S$29&gt;0,ROW(Заказы!$S$3:$S$29)-ROW(S$3)+1),24)),"")</f>
        <v/>
      </c>
      <c r="J343" s="26" t="str">
        <f aca="false">IF(I343="","",INDEX(Заказы!$S$3:$S$29,MATCH(I343,Заказы!$A$3:$A$29,0)))</f>
        <v/>
      </c>
      <c r="K343" s="26" t="str">
        <f aca="false">IF(I343="","",VLOOKUP(I343,Каталог!$A:$C,2,0))</f>
        <v/>
      </c>
      <c r="L343" s="22" t="str">
        <f aca="false">IF(I343="","",VLOOKUP(I343,Каталог!$A:$C,3,0))</f>
        <v/>
      </c>
      <c r="M343" s="22" t="str">
        <f aca="false">IF(I343="","",J343*L343)</f>
        <v/>
      </c>
    </row>
    <row r="344" customFormat="false" ht="15" hidden="false" customHeight="false" outlineLevel="0" collapsed="false">
      <c r="A344" s="26" t="str">
        <f aca="false">IF(B344="","",25)</f>
        <v/>
      </c>
      <c r="B344" s="21" t="str">
        <f aca="false" t="array" ref="B344:B344">IFERROR(INDEX(Заказы!$A$3:$A$29,SMALL(IF(Заказы!$R$3:$R$29&gt;0,ROW(Заказы!$R$3:$R$29)-ROW(R$3)+1),25)),"")</f>
        <v/>
      </c>
      <c r="C344" s="26" t="str">
        <f aca="false">IF(B344="","",INDEX(Заказы!$R$3:$R$29,MATCH(B344,Заказы!$A$3:$A$29,0)))</f>
        <v/>
      </c>
      <c r="D344" s="26" t="str">
        <f aca="false">IF(B344="","",VLOOKUP(B344,Каталог!$A:$C,2,0))</f>
        <v/>
      </c>
      <c r="E344" s="22" t="str">
        <f aca="false">IF(B344="","",VLOOKUP(B344,Каталог!$A:$C,3,0))</f>
        <v/>
      </c>
      <c r="F344" s="22" t="str">
        <f aca="false">IF(B344="","",C344*E344)</f>
        <v/>
      </c>
      <c r="H344" s="26" t="str">
        <f aca="false">IF(I344="","",25)</f>
        <v/>
      </c>
      <c r="I344" s="21" t="str">
        <f aca="false" t="array" ref="I344:I344">IFERROR(INDEX(Заказы!$A$3:$A$29,SMALL(IF(Заказы!$S$3:$S$29&gt;0,ROW(Заказы!$S$3:$S$29)-ROW(S$3)+1),25)),"")</f>
        <v/>
      </c>
      <c r="J344" s="26" t="str">
        <f aca="false">IF(I344="","",INDEX(Заказы!$S$3:$S$29,MATCH(I344,Заказы!$A$3:$A$29,0)))</f>
        <v/>
      </c>
      <c r="K344" s="26" t="str">
        <f aca="false">IF(I344="","",VLOOKUP(I344,Каталог!$A:$C,2,0))</f>
        <v/>
      </c>
      <c r="L344" s="22" t="str">
        <f aca="false">IF(I344="","",VLOOKUP(I344,Каталог!$A:$C,3,0))</f>
        <v/>
      </c>
      <c r="M344" s="22" t="str">
        <f aca="false">IF(I344="","",J344*L344)</f>
        <v/>
      </c>
    </row>
    <row r="345" customFormat="false" ht="15" hidden="false" customHeight="false" outlineLevel="0" collapsed="false">
      <c r="A345" s="26" t="str">
        <f aca="false">IF(B345="","",26)</f>
        <v/>
      </c>
      <c r="B345" s="21" t="str">
        <f aca="false" t="array" ref="B345:B345">IFERROR(INDEX(Заказы!$A$3:$A$29,SMALL(IF(Заказы!$R$3:$R$29&gt;0,ROW(Заказы!$R$3:$R$29)-ROW(R$3)+1),26)),"")</f>
        <v/>
      </c>
      <c r="C345" s="26" t="str">
        <f aca="false">IF(B345="","",INDEX(Заказы!$R$3:$R$29,MATCH(B345,Заказы!$A$3:$A$29,0)))</f>
        <v/>
      </c>
      <c r="D345" s="26" t="str">
        <f aca="false">IF(B345="","",VLOOKUP(B345,Каталог!$A:$C,2,0))</f>
        <v/>
      </c>
      <c r="E345" s="22" t="str">
        <f aca="false">IF(B345="","",VLOOKUP(B345,Каталог!$A:$C,3,0))</f>
        <v/>
      </c>
      <c r="F345" s="22" t="str">
        <f aca="false">IF(B345="","",C345*E345)</f>
        <v/>
      </c>
      <c r="H345" s="26" t="str">
        <f aca="false">IF(I345="","",26)</f>
        <v/>
      </c>
      <c r="I345" s="21" t="str">
        <f aca="false" t="array" ref="I345:I345">IFERROR(INDEX(Заказы!$A$3:$A$29,SMALL(IF(Заказы!$S$3:$S$29&gt;0,ROW(Заказы!$S$3:$S$29)-ROW(S$3)+1),26)),"")</f>
        <v/>
      </c>
      <c r="J345" s="26" t="str">
        <f aca="false">IF(I345="","",INDEX(Заказы!$S$3:$S$29,MATCH(I345,Заказы!$A$3:$A$29,0)))</f>
        <v/>
      </c>
      <c r="K345" s="26" t="str">
        <f aca="false">IF(I345="","",VLOOKUP(I345,Каталог!$A:$C,2,0))</f>
        <v/>
      </c>
      <c r="L345" s="22" t="str">
        <f aca="false">IF(I345="","",VLOOKUP(I345,Каталог!$A:$C,3,0))</f>
        <v/>
      </c>
      <c r="M345" s="22" t="str">
        <f aca="false">IF(I345="","",J345*L345)</f>
        <v/>
      </c>
    </row>
    <row r="346" customFormat="false" ht="15" hidden="false" customHeight="false" outlineLevel="0" collapsed="false">
      <c r="A346" s="26" t="str">
        <f aca="false">IF(B346="","",27)</f>
        <v/>
      </c>
      <c r="B346" s="21" t="str">
        <f aca="false" t="array" ref="B346:B346">IFERROR(INDEX(Заказы!$A$3:$A$29,SMALL(IF(Заказы!$R$3:$R$29&gt;0,ROW(Заказы!$R$3:$R$29)-ROW(R$3)+1),27)),"")</f>
        <v/>
      </c>
      <c r="C346" s="26" t="str">
        <f aca="false">IF(B346="","",INDEX(Заказы!$R$3:$R$29,MATCH(B346,Заказы!$A$3:$A$29,0)))</f>
        <v/>
      </c>
      <c r="D346" s="26" t="str">
        <f aca="false">IF(B346="","",VLOOKUP(B346,Каталог!$A:$C,2,0))</f>
        <v/>
      </c>
      <c r="E346" s="22" t="str">
        <f aca="false">IF(B346="","",VLOOKUP(B346,Каталог!$A:$C,3,0))</f>
        <v/>
      </c>
      <c r="F346" s="22" t="str">
        <f aca="false">IF(B346="","",C346*E346)</f>
        <v/>
      </c>
      <c r="H346" s="26" t="str">
        <f aca="false">IF(I346="","",27)</f>
        <v/>
      </c>
      <c r="I346" s="21" t="str">
        <f aca="false" t="array" ref="I346:I346">IFERROR(INDEX(Заказы!$A$3:$A$29,SMALL(IF(Заказы!$S$3:$S$29&gt;0,ROW(Заказы!$S$3:$S$29)-ROW(S$3)+1),27)),"")</f>
        <v/>
      </c>
      <c r="J346" s="26" t="str">
        <f aca="false">IF(I346="","",INDEX(Заказы!$S$3:$S$29,MATCH(I346,Заказы!$A$3:$A$29,0)))</f>
        <v/>
      </c>
      <c r="K346" s="26" t="str">
        <f aca="false">IF(I346="","",VLOOKUP(I346,Каталог!$A:$C,2,0))</f>
        <v/>
      </c>
      <c r="L346" s="22" t="str">
        <f aca="false">IF(I346="","",VLOOKUP(I346,Каталог!$A:$C,3,0))</f>
        <v/>
      </c>
      <c r="M346" s="22" t="str">
        <f aca="false">IF(I346="","",J346*L346)</f>
        <v/>
      </c>
    </row>
    <row r="347" customFormat="false" ht="15" hidden="false" customHeight="false" outlineLevel="0" collapsed="false">
      <c r="A347" s="23"/>
      <c r="B347" s="23"/>
      <c r="C347" s="23"/>
      <c r="D347" s="23"/>
      <c r="E347" s="23"/>
      <c r="F347" s="23"/>
      <c r="H347" s="23"/>
      <c r="I347" s="23"/>
      <c r="J347" s="23"/>
      <c r="K347" s="23"/>
      <c r="L347" s="23"/>
      <c r="M347" s="23"/>
    </row>
    <row r="348" customFormat="false" ht="15" hidden="false" customHeight="false" outlineLevel="0" collapsed="false">
      <c r="A348" s="24" t="str">
        <f aca="false">IF(COUNTIF(Заказы!$R$3:$R$29,"&gt;0")=0,"","Итого:")</f>
        <v/>
      </c>
      <c r="B348" s="24"/>
      <c r="C348" s="24"/>
      <c r="D348" s="24"/>
      <c r="E348" s="25" t="str">
        <f aca="false">IF(COUNTIF(Заказы!$R$3:$R$29,"&gt;0")=0,"",SUM(F320:F346))</f>
        <v/>
      </c>
      <c r="F348" s="25"/>
      <c r="H348" s="24" t="str">
        <f aca="false">IF(COUNTIF(Заказы!$S$3:$S$29,"&gt;0")=0,"","Итого:")</f>
        <v/>
      </c>
      <c r="I348" s="24"/>
      <c r="J348" s="24"/>
      <c r="K348" s="24"/>
      <c r="L348" s="25" t="str">
        <f aca="false">IF(COUNTIF(Заказы!$S$3:$S$29,"&gt;0")=0,"",SUM(M320:M346))</f>
        <v/>
      </c>
      <c r="M348" s="25"/>
    </row>
    <row r="350" customFormat="false" ht="15" hidden="false" customHeight="false" outlineLevel="0" collapsed="false">
      <c r="A350" s="18" t="str">
        <f aca="false">IF(COUNTIF(Заказы!$R$3:$R$29,"&gt;0")=0,"","Подпись отправителя: __________________")</f>
        <v/>
      </c>
      <c r="B350" s="18"/>
      <c r="C350" s="18"/>
      <c r="D350" s="18"/>
      <c r="E350" s="18"/>
      <c r="F350" s="18"/>
      <c r="H350" s="18" t="str">
        <f aca="false">IF(COUNTIF(Заказы!$S$3:$S$29,"&gt;0")=0,"","Подпись отправителя: __________________")</f>
        <v/>
      </c>
      <c r="I350" s="18"/>
      <c r="J350" s="18"/>
      <c r="K350" s="18"/>
      <c r="L350" s="18"/>
      <c r="M350" s="18"/>
    </row>
    <row r="351" customFormat="false" ht="15" hidden="false" customHeight="false" outlineLevel="0" collapsed="false">
      <c r="A351" s="18" t="str">
        <f aca="false">IF(COUNTIF(Заказы!$R$3:$R$29,"&gt;0")=0,"","Подпись получателя: ___________________")</f>
        <v/>
      </c>
      <c r="B351" s="18"/>
      <c r="C351" s="18"/>
      <c r="D351" s="18"/>
      <c r="E351" s="18"/>
      <c r="F351" s="18"/>
      <c r="H351" s="18" t="str">
        <f aca="false">IF(COUNTIF(Заказы!$S$3:$S$29,"&gt;0")=0,"","Подпись получателя: ___________________")</f>
        <v/>
      </c>
      <c r="I351" s="18"/>
      <c r="J351" s="18"/>
      <c r="K351" s="18"/>
      <c r="L351" s="18"/>
      <c r="M351" s="18"/>
    </row>
    <row r="353" customFormat="false" ht="17.35" hidden="false" customHeight="false" outlineLevel="0" collapsed="false">
      <c r="A353" s="17" t="str">
        <f aca="false">IF(COUNTIF(Заказы!$T$3:$T$29,"&gt;0")=0,"","НАКЛАДНАЯ")</f>
        <v/>
      </c>
      <c r="B353" s="17"/>
      <c r="C353" s="17"/>
      <c r="D353" s="17"/>
      <c r="E353" s="17"/>
      <c r="F353" s="17"/>
      <c r="H353" s="17" t="str">
        <f aca="false">IF(COUNTIF(Заказы!$U$3:$U$29,"&gt;0")=0,"","НАКЛАДНАЯ")</f>
        <v/>
      </c>
      <c r="I353" s="17"/>
      <c r="J353" s="17"/>
      <c r="K353" s="17"/>
      <c r="L353" s="17"/>
      <c r="M353" s="17"/>
    </row>
    <row r="354" customFormat="false" ht="15" hidden="false" customHeight="false" outlineLevel="0" collapsed="false">
      <c r="A354" s="18" t="str">
        <f aca="false">IF(COUNTIF(Заказы!$T$3:$T$29,"&gt;0")=0,"","Отправитель: Brown кондитерский цех")</f>
        <v/>
      </c>
      <c r="B354" s="18"/>
      <c r="C354" s="18"/>
      <c r="D354" s="18"/>
      <c r="E354" s="18"/>
      <c r="F354" s="18"/>
      <c r="H354" s="18" t="str">
        <f aca="false">IF(COUNTIF(Заказы!$U$3:$U$29,"&gt;0")=0,"","Отправитель: Brown кондитерский цех")</f>
        <v/>
      </c>
      <c r="I354" s="18"/>
      <c r="J354" s="18"/>
      <c r="K354" s="18"/>
      <c r="L354" s="18"/>
      <c r="M354" s="18"/>
    </row>
    <row r="355" customFormat="false" ht="15" hidden="false" customHeight="false" outlineLevel="0" collapsed="false">
      <c r="A355" s="18" t="str">
        <f aca="false">IF(COUNTIF(Заказы!$T$3:$T$29,"&gt;0")=0,"","Получатель: "&amp;Заказы!T$2)</f>
        <v/>
      </c>
      <c r="B355" s="18"/>
      <c r="C355" s="18"/>
      <c r="D355" s="18"/>
      <c r="E355" s="18"/>
      <c r="F355" s="18"/>
      <c r="H355" s="18" t="str">
        <f aca="false">IF(COUNTIF(Заказы!$U$3:$U$29,"&gt;0")=0,"","Получатель: "&amp;Заказы!U$2)</f>
        <v/>
      </c>
      <c r="I355" s="18"/>
      <c r="J355" s="18"/>
      <c r="K355" s="18"/>
      <c r="L355" s="18"/>
      <c r="M355" s="18"/>
    </row>
    <row r="356" customFormat="false" ht="15" hidden="false" customHeight="false" outlineLevel="0" collapsed="false">
      <c r="A356" s="19" t="str">
        <f aca="false">IF(COUNTIF(Заказы!$T$3:$T$29,"&gt;0")=0,"","Накладная от: "&amp;TEXT(Заказы!$B$1,"dd.mm.yyyy"))</f>
        <v/>
      </c>
      <c r="B356" s="19"/>
      <c r="C356" s="19"/>
      <c r="D356" s="19"/>
      <c r="E356" s="19"/>
      <c r="F356" s="19"/>
      <c r="H356" s="19" t="str">
        <f aca="false">IF(COUNTIF(Заказы!$U$3:$U$29,"&gt;0")=0,"","Накладная от: "&amp;TEXT(Заказы!$B$1,"dd.mm.yyyy"))</f>
        <v/>
      </c>
      <c r="I356" s="19"/>
      <c r="J356" s="19"/>
      <c r="K356" s="19"/>
      <c r="L356" s="19"/>
      <c r="M356" s="19"/>
    </row>
    <row r="358" customFormat="false" ht="15" hidden="false" customHeight="false" outlineLevel="0" collapsed="false">
      <c r="A358" s="4" t="str">
        <f aca="false">IF(COUNTIF(Заказы!$T$3:$T$29,"&gt;0")=0,"","№")</f>
        <v/>
      </c>
      <c r="B358" s="4" t="str">
        <f aca="false">IF(COUNTIF(Заказы!$T$3:$T$29,"&gt;0")=0,"","Наименование")</f>
        <v/>
      </c>
      <c r="C358" s="4" t="str">
        <f aca="false">IF(COUNTIF(Заказы!$T$3:$T$29,"&gt;0")=0,"","Кол.")</f>
        <v/>
      </c>
      <c r="D358" s="4" t="str">
        <f aca="false">IF(COUNTIF(Заказы!$T$3:$T$29,"&gt;0")=0,"","Ед.")</f>
        <v/>
      </c>
      <c r="E358" s="4" t="str">
        <f aca="false">IF(COUNTIF(Заказы!$T$3:$T$29,"&gt;0")=0,"","Цена")</f>
        <v/>
      </c>
      <c r="F358" s="4" t="str">
        <f aca="false">IF(COUNTIF(Заказы!$T$3:$T$29,"&gt;0")=0,"","Сумма")</f>
        <v/>
      </c>
      <c r="H358" s="4" t="str">
        <f aca="false">IF(COUNTIF(Заказы!$U$3:$U$29,"&gt;0")=0,"","№")</f>
        <v/>
      </c>
      <c r="I358" s="4" t="str">
        <f aca="false">IF(COUNTIF(Заказы!$U$3:$U$29,"&gt;0")=0,"","Наименование")</f>
        <v/>
      </c>
      <c r="J358" s="4" t="str">
        <f aca="false">IF(COUNTIF(Заказы!$U$3:$U$29,"&gt;0")=0,"","Кол.")</f>
        <v/>
      </c>
      <c r="K358" s="4" t="str">
        <f aca="false">IF(COUNTIF(Заказы!$U$3:$U$29,"&gt;0")=0,"","Ед.")</f>
        <v/>
      </c>
      <c r="L358" s="4" t="str">
        <f aca="false">IF(COUNTIF(Заказы!$U$3:$U$29,"&gt;0")=0,"","Цена")</f>
        <v/>
      </c>
      <c r="M358" s="4" t="str">
        <f aca="false">IF(COUNTIF(Заказы!$U$3:$U$29,"&gt;0")=0,"","Сумма")</f>
        <v/>
      </c>
    </row>
    <row r="359" customFormat="false" ht="15" hidden="false" customHeight="false" outlineLevel="0" collapsed="false">
      <c r="A359" s="26" t="str">
        <f aca="false">IF(B359="","",1)</f>
        <v/>
      </c>
      <c r="B359" s="21" t="str">
        <f aca="false" t="array" ref="B359:B359">IFERROR(INDEX(Заказы!$A$3:$A$29,SMALL(IF(Заказы!$T$3:$T$29&gt;0,ROW(Заказы!$T$3:$T$29)-ROW(T$3)+1),1)),"")</f>
        <v/>
      </c>
      <c r="C359" s="26" t="str">
        <f aca="false">IF(B359="","",INDEX(Заказы!$T$3:$T$29,MATCH(B359,Заказы!$A$3:$A$29,0)))</f>
        <v/>
      </c>
      <c r="D359" s="26" t="str">
        <f aca="false">IF(B359="","",VLOOKUP(B359,Каталог!$A:$C,2,0))</f>
        <v/>
      </c>
      <c r="E359" s="22" t="str">
        <f aca="false">IF(B359="","",VLOOKUP(B359,Каталог!$A:$C,3,0))</f>
        <v/>
      </c>
      <c r="F359" s="22" t="str">
        <f aca="false">IF(B359="","",C359*E359)</f>
        <v/>
      </c>
      <c r="H359" s="26" t="str">
        <f aca="false">IF(I359="","",1)</f>
        <v/>
      </c>
      <c r="I359" s="21" t="str">
        <f aca="false" t="array" ref="I359:I359">IFERROR(INDEX(Заказы!$A$3:$A$29,SMALL(IF(Заказы!$U$3:$U$29&gt;0,ROW(Заказы!$U$3:$U$29)-ROW(U$3)+1),1)),"")</f>
        <v/>
      </c>
      <c r="J359" s="26" t="str">
        <f aca="false">IF(I359="","",INDEX(Заказы!$U$3:$U$29,MATCH(I359,Заказы!$A$3:$A$29,0)))</f>
        <v/>
      </c>
      <c r="K359" s="26" t="str">
        <f aca="false">IF(I359="","",VLOOKUP(I359,Каталог!$A:$C,2,0))</f>
        <v/>
      </c>
      <c r="L359" s="22" t="str">
        <f aca="false">IF(I359="","",VLOOKUP(I359,Каталог!$A:$C,3,0))</f>
        <v/>
      </c>
      <c r="M359" s="22" t="str">
        <f aca="false">IF(I359="","",J359*L359)</f>
        <v/>
      </c>
    </row>
    <row r="360" customFormat="false" ht="15" hidden="false" customHeight="false" outlineLevel="0" collapsed="false">
      <c r="A360" s="26" t="str">
        <f aca="false">IF(B360="","",2)</f>
        <v/>
      </c>
      <c r="B360" s="21" t="str">
        <f aca="false" t="array" ref="B360:B360">IFERROR(INDEX(Заказы!$A$3:$A$29,SMALL(IF(Заказы!$T$3:$T$29&gt;0,ROW(Заказы!$T$3:$T$29)-ROW(T$3)+1),2)),"")</f>
        <v/>
      </c>
      <c r="C360" s="26" t="str">
        <f aca="false">IF(B360="","",INDEX(Заказы!$T$3:$T$29,MATCH(B360,Заказы!$A$3:$A$29,0)))</f>
        <v/>
      </c>
      <c r="D360" s="26" t="str">
        <f aca="false">IF(B360="","",VLOOKUP(B360,Каталог!$A:$C,2,0))</f>
        <v/>
      </c>
      <c r="E360" s="22" t="str">
        <f aca="false">IF(B360="","",VLOOKUP(B360,Каталог!$A:$C,3,0))</f>
        <v/>
      </c>
      <c r="F360" s="22" t="str">
        <f aca="false">IF(B360="","",C360*E360)</f>
        <v/>
      </c>
      <c r="H360" s="26" t="str">
        <f aca="false">IF(I360="","",2)</f>
        <v/>
      </c>
      <c r="I360" s="21" t="str">
        <f aca="false" t="array" ref="I360:I360">IFERROR(INDEX(Заказы!$A$3:$A$29,SMALL(IF(Заказы!$U$3:$U$29&gt;0,ROW(Заказы!$U$3:$U$29)-ROW(U$3)+1),2)),"")</f>
        <v/>
      </c>
      <c r="J360" s="26" t="str">
        <f aca="false">IF(I360="","",INDEX(Заказы!$U$3:$U$29,MATCH(I360,Заказы!$A$3:$A$29,0)))</f>
        <v/>
      </c>
      <c r="K360" s="26" t="str">
        <f aca="false">IF(I360="","",VLOOKUP(I360,Каталог!$A:$C,2,0))</f>
        <v/>
      </c>
      <c r="L360" s="22" t="str">
        <f aca="false">IF(I360="","",VLOOKUP(I360,Каталог!$A:$C,3,0))</f>
        <v/>
      </c>
      <c r="M360" s="22" t="str">
        <f aca="false">IF(I360="","",J360*L360)</f>
        <v/>
      </c>
    </row>
    <row r="361" customFormat="false" ht="15" hidden="false" customHeight="false" outlineLevel="0" collapsed="false">
      <c r="A361" s="26" t="str">
        <f aca="false">IF(B361="","",3)</f>
        <v/>
      </c>
      <c r="B361" s="21" t="str">
        <f aca="false" t="array" ref="B361:B361">IFERROR(INDEX(Заказы!$A$3:$A$29,SMALL(IF(Заказы!$T$3:$T$29&gt;0,ROW(Заказы!$T$3:$T$29)-ROW(T$3)+1),3)),"")</f>
        <v/>
      </c>
      <c r="C361" s="26" t="str">
        <f aca="false">IF(B361="","",INDEX(Заказы!$T$3:$T$29,MATCH(B361,Заказы!$A$3:$A$29,0)))</f>
        <v/>
      </c>
      <c r="D361" s="26" t="str">
        <f aca="false">IF(B361="","",VLOOKUP(B361,Каталог!$A:$C,2,0))</f>
        <v/>
      </c>
      <c r="E361" s="22" t="str">
        <f aca="false">IF(B361="","",VLOOKUP(B361,Каталог!$A:$C,3,0))</f>
        <v/>
      </c>
      <c r="F361" s="22" t="str">
        <f aca="false">IF(B361="","",C361*E361)</f>
        <v/>
      </c>
      <c r="H361" s="26" t="str">
        <f aca="false">IF(I361="","",3)</f>
        <v/>
      </c>
      <c r="I361" s="21" t="str">
        <f aca="false" t="array" ref="I361:I361">IFERROR(INDEX(Заказы!$A$3:$A$29,SMALL(IF(Заказы!$U$3:$U$29&gt;0,ROW(Заказы!$U$3:$U$29)-ROW(U$3)+1),3)),"")</f>
        <v/>
      </c>
      <c r="J361" s="26" t="str">
        <f aca="false">IF(I361="","",INDEX(Заказы!$U$3:$U$29,MATCH(I361,Заказы!$A$3:$A$29,0)))</f>
        <v/>
      </c>
      <c r="K361" s="26" t="str">
        <f aca="false">IF(I361="","",VLOOKUP(I361,Каталог!$A:$C,2,0))</f>
        <v/>
      </c>
      <c r="L361" s="22" t="str">
        <f aca="false">IF(I361="","",VLOOKUP(I361,Каталог!$A:$C,3,0))</f>
        <v/>
      </c>
      <c r="M361" s="22" t="str">
        <f aca="false">IF(I361="","",J361*L361)</f>
        <v/>
      </c>
    </row>
    <row r="362" customFormat="false" ht="15" hidden="false" customHeight="false" outlineLevel="0" collapsed="false">
      <c r="A362" s="26" t="str">
        <f aca="false">IF(B362="","",4)</f>
        <v/>
      </c>
      <c r="B362" s="21" t="str">
        <f aca="false" t="array" ref="B362:B362">IFERROR(INDEX(Заказы!$A$3:$A$29,SMALL(IF(Заказы!$T$3:$T$29&gt;0,ROW(Заказы!$T$3:$T$29)-ROW(T$3)+1),4)),"")</f>
        <v/>
      </c>
      <c r="C362" s="26" t="str">
        <f aca="false">IF(B362="","",INDEX(Заказы!$T$3:$T$29,MATCH(B362,Заказы!$A$3:$A$29,0)))</f>
        <v/>
      </c>
      <c r="D362" s="26" t="str">
        <f aca="false">IF(B362="","",VLOOKUP(B362,Каталог!$A:$C,2,0))</f>
        <v/>
      </c>
      <c r="E362" s="22" t="str">
        <f aca="false">IF(B362="","",VLOOKUP(B362,Каталог!$A:$C,3,0))</f>
        <v/>
      </c>
      <c r="F362" s="22" t="str">
        <f aca="false">IF(B362="","",C362*E362)</f>
        <v/>
      </c>
      <c r="H362" s="26" t="str">
        <f aca="false">IF(I362="","",4)</f>
        <v/>
      </c>
      <c r="I362" s="21" t="str">
        <f aca="false" t="array" ref="I362:I362">IFERROR(INDEX(Заказы!$A$3:$A$29,SMALL(IF(Заказы!$U$3:$U$29&gt;0,ROW(Заказы!$U$3:$U$29)-ROW(U$3)+1),4)),"")</f>
        <v/>
      </c>
      <c r="J362" s="26" t="str">
        <f aca="false">IF(I362="","",INDEX(Заказы!$U$3:$U$29,MATCH(I362,Заказы!$A$3:$A$29,0)))</f>
        <v/>
      </c>
      <c r="K362" s="26" t="str">
        <f aca="false">IF(I362="","",VLOOKUP(I362,Каталог!$A:$C,2,0))</f>
        <v/>
      </c>
      <c r="L362" s="22" t="str">
        <f aca="false">IF(I362="","",VLOOKUP(I362,Каталог!$A:$C,3,0))</f>
        <v/>
      </c>
      <c r="M362" s="22" t="str">
        <f aca="false">IF(I362="","",J362*L362)</f>
        <v/>
      </c>
    </row>
    <row r="363" customFormat="false" ht="15" hidden="false" customHeight="false" outlineLevel="0" collapsed="false">
      <c r="A363" s="26" t="str">
        <f aca="false">IF(B363="","",5)</f>
        <v/>
      </c>
      <c r="B363" s="21" t="str">
        <f aca="false" t="array" ref="B363:B363">IFERROR(INDEX(Заказы!$A$3:$A$29,SMALL(IF(Заказы!$T$3:$T$29&gt;0,ROW(Заказы!$T$3:$T$29)-ROW(T$3)+1),5)),"")</f>
        <v/>
      </c>
      <c r="C363" s="26" t="str">
        <f aca="false">IF(B363="","",INDEX(Заказы!$T$3:$T$29,MATCH(B363,Заказы!$A$3:$A$29,0)))</f>
        <v/>
      </c>
      <c r="D363" s="26" t="str">
        <f aca="false">IF(B363="","",VLOOKUP(B363,Каталог!$A:$C,2,0))</f>
        <v/>
      </c>
      <c r="E363" s="22" t="str">
        <f aca="false">IF(B363="","",VLOOKUP(B363,Каталог!$A:$C,3,0))</f>
        <v/>
      </c>
      <c r="F363" s="22" t="str">
        <f aca="false">IF(B363="","",C363*E363)</f>
        <v/>
      </c>
      <c r="H363" s="26" t="str">
        <f aca="false">IF(I363="","",5)</f>
        <v/>
      </c>
      <c r="I363" s="21" t="str">
        <f aca="false" t="array" ref="I363:I363">IFERROR(INDEX(Заказы!$A$3:$A$29,SMALL(IF(Заказы!$U$3:$U$29&gt;0,ROW(Заказы!$U$3:$U$29)-ROW(U$3)+1),5)),"")</f>
        <v/>
      </c>
      <c r="J363" s="26" t="str">
        <f aca="false">IF(I363="","",INDEX(Заказы!$U$3:$U$29,MATCH(I363,Заказы!$A$3:$A$29,0)))</f>
        <v/>
      </c>
      <c r="K363" s="26" t="str">
        <f aca="false">IF(I363="","",VLOOKUP(I363,Каталог!$A:$C,2,0))</f>
        <v/>
      </c>
      <c r="L363" s="22" t="str">
        <f aca="false">IF(I363="","",VLOOKUP(I363,Каталог!$A:$C,3,0))</f>
        <v/>
      </c>
      <c r="M363" s="22" t="str">
        <f aca="false">IF(I363="","",J363*L363)</f>
        <v/>
      </c>
    </row>
    <row r="364" customFormat="false" ht="15" hidden="false" customHeight="false" outlineLevel="0" collapsed="false">
      <c r="A364" s="26" t="str">
        <f aca="false">IF(B364="","",6)</f>
        <v/>
      </c>
      <c r="B364" s="21" t="str">
        <f aca="false" t="array" ref="B364:B364">IFERROR(INDEX(Заказы!$A$3:$A$29,SMALL(IF(Заказы!$T$3:$T$29&gt;0,ROW(Заказы!$T$3:$T$29)-ROW(T$3)+1),6)),"")</f>
        <v/>
      </c>
      <c r="C364" s="26" t="str">
        <f aca="false">IF(B364="","",INDEX(Заказы!$T$3:$T$29,MATCH(B364,Заказы!$A$3:$A$29,0)))</f>
        <v/>
      </c>
      <c r="D364" s="26" t="str">
        <f aca="false">IF(B364="","",VLOOKUP(B364,Каталог!$A:$C,2,0))</f>
        <v/>
      </c>
      <c r="E364" s="22" t="str">
        <f aca="false">IF(B364="","",VLOOKUP(B364,Каталог!$A:$C,3,0))</f>
        <v/>
      </c>
      <c r="F364" s="22" t="str">
        <f aca="false">IF(B364="","",C364*E364)</f>
        <v/>
      </c>
      <c r="H364" s="26" t="str">
        <f aca="false">IF(I364="","",6)</f>
        <v/>
      </c>
      <c r="I364" s="21" t="str">
        <f aca="false" t="array" ref="I364:I364">IFERROR(INDEX(Заказы!$A$3:$A$29,SMALL(IF(Заказы!$U$3:$U$29&gt;0,ROW(Заказы!$U$3:$U$29)-ROW(U$3)+1),6)),"")</f>
        <v/>
      </c>
      <c r="J364" s="26" t="str">
        <f aca="false">IF(I364="","",INDEX(Заказы!$U$3:$U$29,MATCH(I364,Заказы!$A$3:$A$29,0)))</f>
        <v/>
      </c>
      <c r="K364" s="26" t="str">
        <f aca="false">IF(I364="","",VLOOKUP(I364,Каталог!$A:$C,2,0))</f>
        <v/>
      </c>
      <c r="L364" s="22" t="str">
        <f aca="false">IF(I364="","",VLOOKUP(I364,Каталог!$A:$C,3,0))</f>
        <v/>
      </c>
      <c r="M364" s="22" t="str">
        <f aca="false">IF(I364="","",J364*L364)</f>
        <v/>
      </c>
    </row>
    <row r="365" customFormat="false" ht="15" hidden="false" customHeight="false" outlineLevel="0" collapsed="false">
      <c r="A365" s="26" t="str">
        <f aca="false">IF(B365="","",7)</f>
        <v/>
      </c>
      <c r="B365" s="21" t="str">
        <f aca="false" t="array" ref="B365:B365">IFERROR(INDEX(Заказы!$A$3:$A$29,SMALL(IF(Заказы!$T$3:$T$29&gt;0,ROW(Заказы!$T$3:$T$29)-ROW(T$3)+1),7)),"")</f>
        <v/>
      </c>
      <c r="C365" s="26" t="str">
        <f aca="false">IF(B365="","",INDEX(Заказы!$T$3:$T$29,MATCH(B365,Заказы!$A$3:$A$29,0)))</f>
        <v/>
      </c>
      <c r="D365" s="26" t="str">
        <f aca="false">IF(B365="","",VLOOKUP(B365,Каталог!$A:$C,2,0))</f>
        <v/>
      </c>
      <c r="E365" s="22" t="str">
        <f aca="false">IF(B365="","",VLOOKUP(B365,Каталог!$A:$C,3,0))</f>
        <v/>
      </c>
      <c r="F365" s="22" t="str">
        <f aca="false">IF(B365="","",C365*E365)</f>
        <v/>
      </c>
      <c r="H365" s="26" t="str">
        <f aca="false">IF(I365="","",7)</f>
        <v/>
      </c>
      <c r="I365" s="21" t="str">
        <f aca="false" t="array" ref="I365:I365">IFERROR(INDEX(Заказы!$A$3:$A$29,SMALL(IF(Заказы!$U$3:$U$29&gt;0,ROW(Заказы!$U$3:$U$29)-ROW(U$3)+1),7)),"")</f>
        <v/>
      </c>
      <c r="J365" s="26" t="str">
        <f aca="false">IF(I365="","",INDEX(Заказы!$U$3:$U$29,MATCH(I365,Заказы!$A$3:$A$29,0)))</f>
        <v/>
      </c>
      <c r="K365" s="26" t="str">
        <f aca="false">IF(I365="","",VLOOKUP(I365,Каталог!$A:$C,2,0))</f>
        <v/>
      </c>
      <c r="L365" s="22" t="str">
        <f aca="false">IF(I365="","",VLOOKUP(I365,Каталог!$A:$C,3,0))</f>
        <v/>
      </c>
      <c r="M365" s="22" t="str">
        <f aca="false">IF(I365="","",J365*L365)</f>
        <v/>
      </c>
    </row>
    <row r="366" customFormat="false" ht="15" hidden="false" customHeight="false" outlineLevel="0" collapsed="false">
      <c r="A366" s="26" t="str">
        <f aca="false">IF(B366="","",8)</f>
        <v/>
      </c>
      <c r="B366" s="21" t="str">
        <f aca="false" t="array" ref="B366:B366">IFERROR(INDEX(Заказы!$A$3:$A$29,SMALL(IF(Заказы!$T$3:$T$29&gt;0,ROW(Заказы!$T$3:$T$29)-ROW(T$3)+1),8)),"")</f>
        <v/>
      </c>
      <c r="C366" s="26" t="str">
        <f aca="false">IF(B366="","",INDEX(Заказы!$T$3:$T$29,MATCH(B366,Заказы!$A$3:$A$29,0)))</f>
        <v/>
      </c>
      <c r="D366" s="26" t="str">
        <f aca="false">IF(B366="","",VLOOKUP(B366,Каталог!$A:$C,2,0))</f>
        <v/>
      </c>
      <c r="E366" s="22" t="str">
        <f aca="false">IF(B366="","",VLOOKUP(B366,Каталог!$A:$C,3,0))</f>
        <v/>
      </c>
      <c r="F366" s="22" t="str">
        <f aca="false">IF(B366="","",C366*E366)</f>
        <v/>
      </c>
      <c r="H366" s="26" t="str">
        <f aca="false">IF(I366="","",8)</f>
        <v/>
      </c>
      <c r="I366" s="21" t="str">
        <f aca="false" t="array" ref="I366:I366">IFERROR(INDEX(Заказы!$A$3:$A$29,SMALL(IF(Заказы!$U$3:$U$29&gt;0,ROW(Заказы!$U$3:$U$29)-ROW(U$3)+1),8)),"")</f>
        <v/>
      </c>
      <c r="J366" s="26" t="str">
        <f aca="false">IF(I366="","",INDEX(Заказы!$U$3:$U$29,MATCH(I366,Заказы!$A$3:$A$29,0)))</f>
        <v/>
      </c>
      <c r="K366" s="26" t="str">
        <f aca="false">IF(I366="","",VLOOKUP(I366,Каталог!$A:$C,2,0))</f>
        <v/>
      </c>
      <c r="L366" s="22" t="str">
        <f aca="false">IF(I366="","",VLOOKUP(I366,Каталог!$A:$C,3,0))</f>
        <v/>
      </c>
      <c r="M366" s="22" t="str">
        <f aca="false">IF(I366="","",J366*L366)</f>
        <v/>
      </c>
    </row>
    <row r="367" customFormat="false" ht="15" hidden="false" customHeight="false" outlineLevel="0" collapsed="false">
      <c r="A367" s="26" t="str">
        <f aca="false">IF(B367="","",9)</f>
        <v/>
      </c>
      <c r="B367" s="21" t="str">
        <f aca="false" t="array" ref="B367:B367">IFERROR(INDEX(Заказы!$A$3:$A$29,SMALL(IF(Заказы!$T$3:$T$29&gt;0,ROW(Заказы!$T$3:$T$29)-ROW(T$3)+1),9)),"")</f>
        <v/>
      </c>
      <c r="C367" s="26" t="str">
        <f aca="false">IF(B367="","",INDEX(Заказы!$T$3:$T$29,MATCH(B367,Заказы!$A$3:$A$29,0)))</f>
        <v/>
      </c>
      <c r="D367" s="26" t="str">
        <f aca="false">IF(B367="","",VLOOKUP(B367,Каталог!$A:$C,2,0))</f>
        <v/>
      </c>
      <c r="E367" s="22" t="str">
        <f aca="false">IF(B367="","",VLOOKUP(B367,Каталог!$A:$C,3,0))</f>
        <v/>
      </c>
      <c r="F367" s="22" t="str">
        <f aca="false">IF(B367="","",C367*E367)</f>
        <v/>
      </c>
      <c r="H367" s="26" t="str">
        <f aca="false">IF(I367="","",9)</f>
        <v/>
      </c>
      <c r="I367" s="21" t="str">
        <f aca="false" t="array" ref="I367:I367">IFERROR(INDEX(Заказы!$A$3:$A$29,SMALL(IF(Заказы!$U$3:$U$29&gt;0,ROW(Заказы!$U$3:$U$29)-ROW(U$3)+1),9)),"")</f>
        <v/>
      </c>
      <c r="J367" s="26" t="str">
        <f aca="false">IF(I367="","",INDEX(Заказы!$U$3:$U$29,MATCH(I367,Заказы!$A$3:$A$29,0)))</f>
        <v/>
      </c>
      <c r="K367" s="26" t="str">
        <f aca="false">IF(I367="","",VLOOKUP(I367,Каталог!$A:$C,2,0))</f>
        <v/>
      </c>
      <c r="L367" s="22" t="str">
        <f aca="false">IF(I367="","",VLOOKUP(I367,Каталог!$A:$C,3,0))</f>
        <v/>
      </c>
      <c r="M367" s="22" t="str">
        <f aca="false">IF(I367="","",J367*L367)</f>
        <v/>
      </c>
    </row>
    <row r="368" customFormat="false" ht="15" hidden="false" customHeight="false" outlineLevel="0" collapsed="false">
      <c r="A368" s="26" t="str">
        <f aca="false">IF(B368="","",10)</f>
        <v/>
      </c>
      <c r="B368" s="21" t="str">
        <f aca="false" t="array" ref="B368:B368">IFERROR(INDEX(Заказы!$A$3:$A$29,SMALL(IF(Заказы!$T$3:$T$29&gt;0,ROW(Заказы!$T$3:$T$29)-ROW(T$3)+1),10)),"")</f>
        <v/>
      </c>
      <c r="C368" s="26" t="str">
        <f aca="false">IF(B368="","",INDEX(Заказы!$T$3:$T$29,MATCH(B368,Заказы!$A$3:$A$29,0)))</f>
        <v/>
      </c>
      <c r="D368" s="26" t="str">
        <f aca="false">IF(B368="","",VLOOKUP(B368,Каталог!$A:$C,2,0))</f>
        <v/>
      </c>
      <c r="E368" s="22" t="str">
        <f aca="false">IF(B368="","",VLOOKUP(B368,Каталог!$A:$C,3,0))</f>
        <v/>
      </c>
      <c r="F368" s="22" t="str">
        <f aca="false">IF(B368="","",C368*E368)</f>
        <v/>
      </c>
      <c r="H368" s="26" t="str">
        <f aca="false">IF(I368="","",10)</f>
        <v/>
      </c>
      <c r="I368" s="21" t="str">
        <f aca="false" t="array" ref="I368:I368">IFERROR(INDEX(Заказы!$A$3:$A$29,SMALL(IF(Заказы!$U$3:$U$29&gt;0,ROW(Заказы!$U$3:$U$29)-ROW(U$3)+1),10)),"")</f>
        <v/>
      </c>
      <c r="J368" s="26" t="str">
        <f aca="false">IF(I368="","",INDEX(Заказы!$U$3:$U$29,MATCH(I368,Заказы!$A$3:$A$29,0)))</f>
        <v/>
      </c>
      <c r="K368" s="26" t="str">
        <f aca="false">IF(I368="","",VLOOKUP(I368,Каталог!$A:$C,2,0))</f>
        <v/>
      </c>
      <c r="L368" s="22" t="str">
        <f aca="false">IF(I368="","",VLOOKUP(I368,Каталог!$A:$C,3,0))</f>
        <v/>
      </c>
      <c r="M368" s="22" t="str">
        <f aca="false">IF(I368="","",J368*L368)</f>
        <v/>
      </c>
    </row>
    <row r="369" customFormat="false" ht="15" hidden="false" customHeight="false" outlineLevel="0" collapsed="false">
      <c r="A369" s="26" t="str">
        <f aca="false">IF(B369="","",11)</f>
        <v/>
      </c>
      <c r="B369" s="21" t="str">
        <f aca="false" t="array" ref="B369:B369">IFERROR(INDEX(Заказы!$A$3:$A$29,SMALL(IF(Заказы!$T$3:$T$29&gt;0,ROW(Заказы!$T$3:$T$29)-ROW(T$3)+1),11)),"")</f>
        <v/>
      </c>
      <c r="C369" s="26" t="str">
        <f aca="false">IF(B369="","",INDEX(Заказы!$T$3:$T$29,MATCH(B369,Заказы!$A$3:$A$29,0)))</f>
        <v/>
      </c>
      <c r="D369" s="26" t="str">
        <f aca="false">IF(B369="","",VLOOKUP(B369,Каталог!$A:$C,2,0))</f>
        <v/>
      </c>
      <c r="E369" s="22" t="str">
        <f aca="false">IF(B369="","",VLOOKUP(B369,Каталог!$A:$C,3,0))</f>
        <v/>
      </c>
      <c r="F369" s="22" t="str">
        <f aca="false">IF(B369="","",C369*E369)</f>
        <v/>
      </c>
      <c r="H369" s="26" t="str">
        <f aca="false">IF(I369="","",11)</f>
        <v/>
      </c>
      <c r="I369" s="21" t="str">
        <f aca="false" t="array" ref="I369:I369">IFERROR(INDEX(Заказы!$A$3:$A$29,SMALL(IF(Заказы!$U$3:$U$29&gt;0,ROW(Заказы!$U$3:$U$29)-ROW(U$3)+1),11)),"")</f>
        <v/>
      </c>
      <c r="J369" s="26" t="str">
        <f aca="false">IF(I369="","",INDEX(Заказы!$U$3:$U$29,MATCH(I369,Заказы!$A$3:$A$29,0)))</f>
        <v/>
      </c>
      <c r="K369" s="26" t="str">
        <f aca="false">IF(I369="","",VLOOKUP(I369,Каталог!$A:$C,2,0))</f>
        <v/>
      </c>
      <c r="L369" s="22" t="str">
        <f aca="false">IF(I369="","",VLOOKUP(I369,Каталог!$A:$C,3,0))</f>
        <v/>
      </c>
      <c r="M369" s="22" t="str">
        <f aca="false">IF(I369="","",J369*L369)</f>
        <v/>
      </c>
    </row>
    <row r="370" customFormat="false" ht="15" hidden="false" customHeight="false" outlineLevel="0" collapsed="false">
      <c r="A370" s="26" t="str">
        <f aca="false">IF(B370="","",12)</f>
        <v/>
      </c>
      <c r="B370" s="21" t="str">
        <f aca="false" t="array" ref="B370:B370">IFERROR(INDEX(Заказы!$A$3:$A$29,SMALL(IF(Заказы!$T$3:$T$29&gt;0,ROW(Заказы!$T$3:$T$29)-ROW(T$3)+1),12)),"")</f>
        <v/>
      </c>
      <c r="C370" s="26" t="str">
        <f aca="false">IF(B370="","",INDEX(Заказы!$T$3:$T$29,MATCH(B370,Заказы!$A$3:$A$29,0)))</f>
        <v/>
      </c>
      <c r="D370" s="26" t="str">
        <f aca="false">IF(B370="","",VLOOKUP(B370,Каталог!$A:$C,2,0))</f>
        <v/>
      </c>
      <c r="E370" s="22" t="str">
        <f aca="false">IF(B370="","",VLOOKUP(B370,Каталог!$A:$C,3,0))</f>
        <v/>
      </c>
      <c r="F370" s="22" t="str">
        <f aca="false">IF(B370="","",C370*E370)</f>
        <v/>
      </c>
      <c r="H370" s="26" t="str">
        <f aca="false">IF(I370="","",12)</f>
        <v/>
      </c>
      <c r="I370" s="21" t="str">
        <f aca="false" t="array" ref="I370:I370">IFERROR(INDEX(Заказы!$A$3:$A$29,SMALL(IF(Заказы!$U$3:$U$29&gt;0,ROW(Заказы!$U$3:$U$29)-ROW(U$3)+1),12)),"")</f>
        <v/>
      </c>
      <c r="J370" s="26" t="str">
        <f aca="false">IF(I370="","",INDEX(Заказы!$U$3:$U$29,MATCH(I370,Заказы!$A$3:$A$29,0)))</f>
        <v/>
      </c>
      <c r="K370" s="26" t="str">
        <f aca="false">IF(I370="","",VLOOKUP(I370,Каталог!$A:$C,2,0))</f>
        <v/>
      </c>
      <c r="L370" s="22" t="str">
        <f aca="false">IF(I370="","",VLOOKUP(I370,Каталог!$A:$C,3,0))</f>
        <v/>
      </c>
      <c r="M370" s="22" t="str">
        <f aca="false">IF(I370="","",J370*L370)</f>
        <v/>
      </c>
    </row>
    <row r="371" customFormat="false" ht="15" hidden="false" customHeight="false" outlineLevel="0" collapsed="false">
      <c r="A371" s="26" t="str">
        <f aca="false">IF(B371="","",13)</f>
        <v/>
      </c>
      <c r="B371" s="21" t="str">
        <f aca="false" t="array" ref="B371:B371">IFERROR(INDEX(Заказы!$A$3:$A$29,SMALL(IF(Заказы!$T$3:$T$29&gt;0,ROW(Заказы!$T$3:$T$29)-ROW(T$3)+1),13)),"")</f>
        <v/>
      </c>
      <c r="C371" s="26" t="str">
        <f aca="false">IF(B371="","",INDEX(Заказы!$T$3:$T$29,MATCH(B371,Заказы!$A$3:$A$29,0)))</f>
        <v/>
      </c>
      <c r="D371" s="26" t="str">
        <f aca="false">IF(B371="","",VLOOKUP(B371,Каталог!$A:$C,2,0))</f>
        <v/>
      </c>
      <c r="E371" s="22" t="str">
        <f aca="false">IF(B371="","",VLOOKUP(B371,Каталог!$A:$C,3,0))</f>
        <v/>
      </c>
      <c r="F371" s="22" t="str">
        <f aca="false">IF(B371="","",C371*E371)</f>
        <v/>
      </c>
      <c r="H371" s="26" t="str">
        <f aca="false">IF(I371="","",13)</f>
        <v/>
      </c>
      <c r="I371" s="21" t="str">
        <f aca="false" t="array" ref="I371:I371">IFERROR(INDEX(Заказы!$A$3:$A$29,SMALL(IF(Заказы!$U$3:$U$29&gt;0,ROW(Заказы!$U$3:$U$29)-ROW(U$3)+1),13)),"")</f>
        <v/>
      </c>
      <c r="J371" s="26" t="str">
        <f aca="false">IF(I371="","",INDEX(Заказы!$U$3:$U$29,MATCH(I371,Заказы!$A$3:$A$29,0)))</f>
        <v/>
      </c>
      <c r="K371" s="26" t="str">
        <f aca="false">IF(I371="","",VLOOKUP(I371,Каталог!$A:$C,2,0))</f>
        <v/>
      </c>
      <c r="L371" s="22" t="str">
        <f aca="false">IF(I371="","",VLOOKUP(I371,Каталог!$A:$C,3,0))</f>
        <v/>
      </c>
      <c r="M371" s="22" t="str">
        <f aca="false">IF(I371="","",J371*L371)</f>
        <v/>
      </c>
    </row>
    <row r="372" customFormat="false" ht="15" hidden="false" customHeight="false" outlineLevel="0" collapsed="false">
      <c r="A372" s="26" t="str">
        <f aca="false">IF(B372="","",14)</f>
        <v/>
      </c>
      <c r="B372" s="21" t="str">
        <f aca="false" t="array" ref="B372:B372">IFERROR(INDEX(Заказы!$A$3:$A$29,SMALL(IF(Заказы!$T$3:$T$29&gt;0,ROW(Заказы!$T$3:$T$29)-ROW(T$3)+1),14)),"")</f>
        <v/>
      </c>
      <c r="C372" s="26" t="str">
        <f aca="false">IF(B372="","",INDEX(Заказы!$T$3:$T$29,MATCH(B372,Заказы!$A$3:$A$29,0)))</f>
        <v/>
      </c>
      <c r="D372" s="26" t="str">
        <f aca="false">IF(B372="","",VLOOKUP(B372,Каталог!$A:$C,2,0))</f>
        <v/>
      </c>
      <c r="E372" s="22" t="str">
        <f aca="false">IF(B372="","",VLOOKUP(B372,Каталог!$A:$C,3,0))</f>
        <v/>
      </c>
      <c r="F372" s="22" t="str">
        <f aca="false">IF(B372="","",C372*E372)</f>
        <v/>
      </c>
      <c r="H372" s="26" t="str">
        <f aca="false">IF(I372="","",14)</f>
        <v/>
      </c>
      <c r="I372" s="21" t="str">
        <f aca="false" t="array" ref="I372:I372">IFERROR(INDEX(Заказы!$A$3:$A$29,SMALL(IF(Заказы!$U$3:$U$29&gt;0,ROW(Заказы!$U$3:$U$29)-ROW(U$3)+1),14)),"")</f>
        <v/>
      </c>
      <c r="J372" s="26" t="str">
        <f aca="false">IF(I372="","",INDEX(Заказы!$U$3:$U$29,MATCH(I372,Заказы!$A$3:$A$29,0)))</f>
        <v/>
      </c>
      <c r="K372" s="26" t="str">
        <f aca="false">IF(I372="","",VLOOKUP(I372,Каталог!$A:$C,2,0))</f>
        <v/>
      </c>
      <c r="L372" s="22" t="str">
        <f aca="false">IF(I372="","",VLOOKUP(I372,Каталог!$A:$C,3,0))</f>
        <v/>
      </c>
      <c r="M372" s="22" t="str">
        <f aca="false">IF(I372="","",J372*L372)</f>
        <v/>
      </c>
    </row>
    <row r="373" customFormat="false" ht="15" hidden="false" customHeight="false" outlineLevel="0" collapsed="false">
      <c r="A373" s="26" t="str">
        <f aca="false">IF(B373="","",15)</f>
        <v/>
      </c>
      <c r="B373" s="21" t="str">
        <f aca="false" t="array" ref="B373:B373">IFERROR(INDEX(Заказы!$A$3:$A$29,SMALL(IF(Заказы!$T$3:$T$29&gt;0,ROW(Заказы!$T$3:$T$29)-ROW(T$3)+1),15)),"")</f>
        <v/>
      </c>
      <c r="C373" s="26" t="str">
        <f aca="false">IF(B373="","",INDEX(Заказы!$T$3:$T$29,MATCH(B373,Заказы!$A$3:$A$29,0)))</f>
        <v/>
      </c>
      <c r="D373" s="26" t="str">
        <f aca="false">IF(B373="","",VLOOKUP(B373,Каталог!$A:$C,2,0))</f>
        <v/>
      </c>
      <c r="E373" s="22" t="str">
        <f aca="false">IF(B373="","",VLOOKUP(B373,Каталог!$A:$C,3,0))</f>
        <v/>
      </c>
      <c r="F373" s="22" t="str">
        <f aca="false">IF(B373="","",C373*E373)</f>
        <v/>
      </c>
      <c r="H373" s="26" t="str">
        <f aca="false">IF(I373="","",15)</f>
        <v/>
      </c>
      <c r="I373" s="21" t="str">
        <f aca="false" t="array" ref="I373:I373">IFERROR(INDEX(Заказы!$A$3:$A$29,SMALL(IF(Заказы!$U$3:$U$29&gt;0,ROW(Заказы!$U$3:$U$29)-ROW(U$3)+1),15)),"")</f>
        <v/>
      </c>
      <c r="J373" s="26" t="str">
        <f aca="false">IF(I373="","",INDEX(Заказы!$U$3:$U$29,MATCH(I373,Заказы!$A$3:$A$29,0)))</f>
        <v/>
      </c>
      <c r="K373" s="26" t="str">
        <f aca="false">IF(I373="","",VLOOKUP(I373,Каталог!$A:$C,2,0))</f>
        <v/>
      </c>
      <c r="L373" s="22" t="str">
        <f aca="false">IF(I373="","",VLOOKUP(I373,Каталог!$A:$C,3,0))</f>
        <v/>
      </c>
      <c r="M373" s="22" t="str">
        <f aca="false">IF(I373="","",J373*L373)</f>
        <v/>
      </c>
    </row>
    <row r="374" customFormat="false" ht="15" hidden="false" customHeight="false" outlineLevel="0" collapsed="false">
      <c r="A374" s="26" t="str">
        <f aca="false">IF(B374="","",16)</f>
        <v/>
      </c>
      <c r="B374" s="21" t="str">
        <f aca="false" t="array" ref="B374:B374">IFERROR(INDEX(Заказы!$A$3:$A$29,SMALL(IF(Заказы!$T$3:$T$29&gt;0,ROW(Заказы!$T$3:$T$29)-ROW(T$3)+1),16)),"")</f>
        <v/>
      </c>
      <c r="C374" s="26" t="str">
        <f aca="false">IF(B374="","",INDEX(Заказы!$T$3:$T$29,MATCH(B374,Заказы!$A$3:$A$29,0)))</f>
        <v/>
      </c>
      <c r="D374" s="26" t="str">
        <f aca="false">IF(B374="","",VLOOKUP(B374,Каталог!$A:$C,2,0))</f>
        <v/>
      </c>
      <c r="E374" s="22" t="str">
        <f aca="false">IF(B374="","",VLOOKUP(B374,Каталог!$A:$C,3,0))</f>
        <v/>
      </c>
      <c r="F374" s="22" t="str">
        <f aca="false">IF(B374="","",C374*E374)</f>
        <v/>
      </c>
      <c r="H374" s="26" t="str">
        <f aca="false">IF(I374="","",16)</f>
        <v/>
      </c>
      <c r="I374" s="21" t="str">
        <f aca="false" t="array" ref="I374:I374">IFERROR(INDEX(Заказы!$A$3:$A$29,SMALL(IF(Заказы!$U$3:$U$29&gt;0,ROW(Заказы!$U$3:$U$29)-ROW(U$3)+1),16)),"")</f>
        <v/>
      </c>
      <c r="J374" s="26" t="str">
        <f aca="false">IF(I374="","",INDEX(Заказы!$U$3:$U$29,MATCH(I374,Заказы!$A$3:$A$29,0)))</f>
        <v/>
      </c>
      <c r="K374" s="26" t="str">
        <f aca="false">IF(I374="","",VLOOKUP(I374,Каталог!$A:$C,2,0))</f>
        <v/>
      </c>
      <c r="L374" s="22" t="str">
        <f aca="false">IF(I374="","",VLOOKUP(I374,Каталог!$A:$C,3,0))</f>
        <v/>
      </c>
      <c r="M374" s="22" t="str">
        <f aca="false">IF(I374="","",J374*L374)</f>
        <v/>
      </c>
    </row>
    <row r="375" customFormat="false" ht="15" hidden="false" customHeight="false" outlineLevel="0" collapsed="false">
      <c r="A375" s="26" t="str">
        <f aca="false">IF(B375="","",17)</f>
        <v/>
      </c>
      <c r="B375" s="21" t="str">
        <f aca="false" t="array" ref="B375:B375">IFERROR(INDEX(Заказы!$A$3:$A$29,SMALL(IF(Заказы!$T$3:$T$29&gt;0,ROW(Заказы!$T$3:$T$29)-ROW(T$3)+1),17)),"")</f>
        <v/>
      </c>
      <c r="C375" s="26" t="str">
        <f aca="false">IF(B375="","",INDEX(Заказы!$T$3:$T$29,MATCH(B375,Заказы!$A$3:$A$29,0)))</f>
        <v/>
      </c>
      <c r="D375" s="26" t="str">
        <f aca="false">IF(B375="","",VLOOKUP(B375,Каталог!$A:$C,2,0))</f>
        <v/>
      </c>
      <c r="E375" s="22" t="str">
        <f aca="false">IF(B375="","",VLOOKUP(B375,Каталог!$A:$C,3,0))</f>
        <v/>
      </c>
      <c r="F375" s="22" t="str">
        <f aca="false">IF(B375="","",C375*E375)</f>
        <v/>
      </c>
      <c r="H375" s="26" t="str">
        <f aca="false">IF(I375="","",17)</f>
        <v/>
      </c>
      <c r="I375" s="21" t="str">
        <f aca="false" t="array" ref="I375:I375">IFERROR(INDEX(Заказы!$A$3:$A$29,SMALL(IF(Заказы!$U$3:$U$29&gt;0,ROW(Заказы!$U$3:$U$29)-ROW(U$3)+1),17)),"")</f>
        <v/>
      </c>
      <c r="J375" s="26" t="str">
        <f aca="false">IF(I375="","",INDEX(Заказы!$U$3:$U$29,MATCH(I375,Заказы!$A$3:$A$29,0)))</f>
        <v/>
      </c>
      <c r="K375" s="26" t="str">
        <f aca="false">IF(I375="","",VLOOKUP(I375,Каталог!$A:$C,2,0))</f>
        <v/>
      </c>
      <c r="L375" s="22" t="str">
        <f aca="false">IF(I375="","",VLOOKUP(I375,Каталог!$A:$C,3,0))</f>
        <v/>
      </c>
      <c r="M375" s="22" t="str">
        <f aca="false">IF(I375="","",J375*L375)</f>
        <v/>
      </c>
    </row>
    <row r="376" customFormat="false" ht="15" hidden="false" customHeight="false" outlineLevel="0" collapsed="false">
      <c r="A376" s="26" t="str">
        <f aca="false">IF(B376="","",18)</f>
        <v/>
      </c>
      <c r="B376" s="21" t="str">
        <f aca="false" t="array" ref="B376:B376">IFERROR(INDEX(Заказы!$A$3:$A$29,SMALL(IF(Заказы!$T$3:$T$29&gt;0,ROW(Заказы!$T$3:$T$29)-ROW(T$3)+1),18)),"")</f>
        <v/>
      </c>
      <c r="C376" s="26" t="str">
        <f aca="false">IF(B376="","",INDEX(Заказы!$T$3:$T$29,MATCH(B376,Заказы!$A$3:$A$29,0)))</f>
        <v/>
      </c>
      <c r="D376" s="26" t="str">
        <f aca="false">IF(B376="","",VLOOKUP(B376,Каталог!$A:$C,2,0))</f>
        <v/>
      </c>
      <c r="E376" s="22" t="str">
        <f aca="false">IF(B376="","",VLOOKUP(B376,Каталог!$A:$C,3,0))</f>
        <v/>
      </c>
      <c r="F376" s="22" t="str">
        <f aca="false">IF(B376="","",C376*E376)</f>
        <v/>
      </c>
      <c r="H376" s="26" t="str">
        <f aca="false">IF(I376="","",18)</f>
        <v/>
      </c>
      <c r="I376" s="21" t="str">
        <f aca="false" t="array" ref="I376:I376">IFERROR(INDEX(Заказы!$A$3:$A$29,SMALL(IF(Заказы!$U$3:$U$29&gt;0,ROW(Заказы!$U$3:$U$29)-ROW(U$3)+1),18)),"")</f>
        <v/>
      </c>
      <c r="J376" s="26" t="str">
        <f aca="false">IF(I376="","",INDEX(Заказы!$U$3:$U$29,MATCH(I376,Заказы!$A$3:$A$29,0)))</f>
        <v/>
      </c>
      <c r="K376" s="26" t="str">
        <f aca="false">IF(I376="","",VLOOKUP(I376,Каталог!$A:$C,2,0))</f>
        <v/>
      </c>
      <c r="L376" s="22" t="str">
        <f aca="false">IF(I376="","",VLOOKUP(I376,Каталог!$A:$C,3,0))</f>
        <v/>
      </c>
      <c r="M376" s="22" t="str">
        <f aca="false">IF(I376="","",J376*L376)</f>
        <v/>
      </c>
    </row>
    <row r="377" customFormat="false" ht="15" hidden="false" customHeight="false" outlineLevel="0" collapsed="false">
      <c r="A377" s="26" t="str">
        <f aca="false">IF(B377="","",19)</f>
        <v/>
      </c>
      <c r="B377" s="21" t="str">
        <f aca="false" t="array" ref="B377:B377">IFERROR(INDEX(Заказы!$A$3:$A$29,SMALL(IF(Заказы!$T$3:$T$29&gt;0,ROW(Заказы!$T$3:$T$29)-ROW(T$3)+1),19)),"")</f>
        <v/>
      </c>
      <c r="C377" s="26" t="str">
        <f aca="false">IF(B377="","",INDEX(Заказы!$T$3:$T$29,MATCH(B377,Заказы!$A$3:$A$29,0)))</f>
        <v/>
      </c>
      <c r="D377" s="26" t="str">
        <f aca="false">IF(B377="","",VLOOKUP(B377,Каталог!$A:$C,2,0))</f>
        <v/>
      </c>
      <c r="E377" s="22" t="str">
        <f aca="false">IF(B377="","",VLOOKUP(B377,Каталог!$A:$C,3,0))</f>
        <v/>
      </c>
      <c r="F377" s="22" t="str">
        <f aca="false">IF(B377="","",C377*E377)</f>
        <v/>
      </c>
      <c r="H377" s="26" t="str">
        <f aca="false">IF(I377="","",19)</f>
        <v/>
      </c>
      <c r="I377" s="21" t="str">
        <f aca="false" t="array" ref="I377:I377">IFERROR(INDEX(Заказы!$A$3:$A$29,SMALL(IF(Заказы!$U$3:$U$29&gt;0,ROW(Заказы!$U$3:$U$29)-ROW(U$3)+1),19)),"")</f>
        <v/>
      </c>
      <c r="J377" s="26" t="str">
        <f aca="false">IF(I377="","",INDEX(Заказы!$U$3:$U$29,MATCH(I377,Заказы!$A$3:$A$29,0)))</f>
        <v/>
      </c>
      <c r="K377" s="26" t="str">
        <f aca="false">IF(I377="","",VLOOKUP(I377,Каталог!$A:$C,2,0))</f>
        <v/>
      </c>
      <c r="L377" s="22" t="str">
        <f aca="false">IF(I377="","",VLOOKUP(I377,Каталог!$A:$C,3,0))</f>
        <v/>
      </c>
      <c r="M377" s="22" t="str">
        <f aca="false">IF(I377="","",J377*L377)</f>
        <v/>
      </c>
    </row>
    <row r="378" customFormat="false" ht="15" hidden="false" customHeight="false" outlineLevel="0" collapsed="false">
      <c r="A378" s="26" t="str">
        <f aca="false">IF(B378="","",20)</f>
        <v/>
      </c>
      <c r="B378" s="21" t="str">
        <f aca="false" t="array" ref="B378:B378">IFERROR(INDEX(Заказы!$A$3:$A$29,SMALL(IF(Заказы!$T$3:$T$29&gt;0,ROW(Заказы!$T$3:$T$29)-ROW(T$3)+1),20)),"")</f>
        <v/>
      </c>
      <c r="C378" s="26" t="str">
        <f aca="false">IF(B378="","",INDEX(Заказы!$T$3:$T$29,MATCH(B378,Заказы!$A$3:$A$29,0)))</f>
        <v/>
      </c>
      <c r="D378" s="26" t="str">
        <f aca="false">IF(B378="","",VLOOKUP(B378,Каталог!$A:$C,2,0))</f>
        <v/>
      </c>
      <c r="E378" s="22" t="str">
        <f aca="false">IF(B378="","",VLOOKUP(B378,Каталог!$A:$C,3,0))</f>
        <v/>
      </c>
      <c r="F378" s="22" t="str">
        <f aca="false">IF(B378="","",C378*E378)</f>
        <v/>
      </c>
      <c r="H378" s="26" t="str">
        <f aca="false">IF(I378="","",20)</f>
        <v/>
      </c>
      <c r="I378" s="21" t="str">
        <f aca="false" t="array" ref="I378:I378">IFERROR(INDEX(Заказы!$A$3:$A$29,SMALL(IF(Заказы!$U$3:$U$29&gt;0,ROW(Заказы!$U$3:$U$29)-ROW(U$3)+1),20)),"")</f>
        <v/>
      </c>
      <c r="J378" s="26" t="str">
        <f aca="false">IF(I378="","",INDEX(Заказы!$U$3:$U$29,MATCH(I378,Заказы!$A$3:$A$29,0)))</f>
        <v/>
      </c>
      <c r="K378" s="26" t="str">
        <f aca="false">IF(I378="","",VLOOKUP(I378,Каталог!$A:$C,2,0))</f>
        <v/>
      </c>
      <c r="L378" s="22" t="str">
        <f aca="false">IF(I378="","",VLOOKUP(I378,Каталог!$A:$C,3,0))</f>
        <v/>
      </c>
      <c r="M378" s="22" t="str">
        <f aca="false">IF(I378="","",J378*L378)</f>
        <v/>
      </c>
    </row>
    <row r="379" customFormat="false" ht="15" hidden="false" customHeight="false" outlineLevel="0" collapsed="false">
      <c r="A379" s="26" t="str">
        <f aca="false">IF(B379="","",21)</f>
        <v/>
      </c>
      <c r="B379" s="21" t="str">
        <f aca="false" t="array" ref="B379:B379">IFERROR(INDEX(Заказы!$A$3:$A$29,SMALL(IF(Заказы!$T$3:$T$29&gt;0,ROW(Заказы!$T$3:$T$29)-ROW(T$3)+1),21)),"")</f>
        <v/>
      </c>
      <c r="C379" s="26" t="str">
        <f aca="false">IF(B379="","",INDEX(Заказы!$T$3:$T$29,MATCH(B379,Заказы!$A$3:$A$29,0)))</f>
        <v/>
      </c>
      <c r="D379" s="26" t="str">
        <f aca="false">IF(B379="","",VLOOKUP(B379,Каталог!$A:$C,2,0))</f>
        <v/>
      </c>
      <c r="E379" s="22" t="str">
        <f aca="false">IF(B379="","",VLOOKUP(B379,Каталог!$A:$C,3,0))</f>
        <v/>
      </c>
      <c r="F379" s="22" t="str">
        <f aca="false">IF(B379="","",C379*E379)</f>
        <v/>
      </c>
      <c r="H379" s="26" t="str">
        <f aca="false">IF(I379="","",21)</f>
        <v/>
      </c>
      <c r="I379" s="21" t="str">
        <f aca="false" t="array" ref="I379:I379">IFERROR(INDEX(Заказы!$A$3:$A$29,SMALL(IF(Заказы!$U$3:$U$29&gt;0,ROW(Заказы!$U$3:$U$29)-ROW(U$3)+1),21)),"")</f>
        <v/>
      </c>
      <c r="J379" s="26" t="str">
        <f aca="false">IF(I379="","",INDEX(Заказы!$U$3:$U$29,MATCH(I379,Заказы!$A$3:$A$29,0)))</f>
        <v/>
      </c>
      <c r="K379" s="26" t="str">
        <f aca="false">IF(I379="","",VLOOKUP(I379,Каталог!$A:$C,2,0))</f>
        <v/>
      </c>
      <c r="L379" s="22" t="str">
        <f aca="false">IF(I379="","",VLOOKUP(I379,Каталог!$A:$C,3,0))</f>
        <v/>
      </c>
      <c r="M379" s="22" t="str">
        <f aca="false">IF(I379="","",J379*L379)</f>
        <v/>
      </c>
    </row>
    <row r="380" customFormat="false" ht="15" hidden="false" customHeight="false" outlineLevel="0" collapsed="false">
      <c r="A380" s="26" t="str">
        <f aca="false">IF(B380="","",22)</f>
        <v/>
      </c>
      <c r="B380" s="21" t="str">
        <f aca="false" t="array" ref="B380:B380">IFERROR(INDEX(Заказы!$A$3:$A$29,SMALL(IF(Заказы!$T$3:$T$29&gt;0,ROW(Заказы!$T$3:$T$29)-ROW(T$3)+1),22)),"")</f>
        <v/>
      </c>
      <c r="C380" s="26" t="str">
        <f aca="false">IF(B380="","",INDEX(Заказы!$T$3:$T$29,MATCH(B380,Заказы!$A$3:$A$29,0)))</f>
        <v/>
      </c>
      <c r="D380" s="26" t="str">
        <f aca="false">IF(B380="","",VLOOKUP(B380,Каталог!$A:$C,2,0))</f>
        <v/>
      </c>
      <c r="E380" s="22" t="str">
        <f aca="false">IF(B380="","",VLOOKUP(B380,Каталог!$A:$C,3,0))</f>
        <v/>
      </c>
      <c r="F380" s="22" t="str">
        <f aca="false">IF(B380="","",C380*E380)</f>
        <v/>
      </c>
      <c r="H380" s="26" t="str">
        <f aca="false">IF(I380="","",22)</f>
        <v/>
      </c>
      <c r="I380" s="21" t="str">
        <f aca="false" t="array" ref="I380:I380">IFERROR(INDEX(Заказы!$A$3:$A$29,SMALL(IF(Заказы!$U$3:$U$29&gt;0,ROW(Заказы!$U$3:$U$29)-ROW(U$3)+1),22)),"")</f>
        <v/>
      </c>
      <c r="J380" s="26" t="str">
        <f aca="false">IF(I380="","",INDEX(Заказы!$U$3:$U$29,MATCH(I380,Заказы!$A$3:$A$29,0)))</f>
        <v/>
      </c>
      <c r="K380" s="26" t="str">
        <f aca="false">IF(I380="","",VLOOKUP(I380,Каталог!$A:$C,2,0))</f>
        <v/>
      </c>
      <c r="L380" s="22" t="str">
        <f aca="false">IF(I380="","",VLOOKUP(I380,Каталог!$A:$C,3,0))</f>
        <v/>
      </c>
      <c r="M380" s="22" t="str">
        <f aca="false">IF(I380="","",J380*L380)</f>
        <v/>
      </c>
    </row>
    <row r="381" customFormat="false" ht="15" hidden="false" customHeight="false" outlineLevel="0" collapsed="false">
      <c r="A381" s="26" t="str">
        <f aca="false">IF(B381="","",23)</f>
        <v/>
      </c>
      <c r="B381" s="21" t="str">
        <f aca="false" t="array" ref="B381:B381">IFERROR(INDEX(Заказы!$A$3:$A$29,SMALL(IF(Заказы!$T$3:$T$29&gt;0,ROW(Заказы!$T$3:$T$29)-ROW(T$3)+1),23)),"")</f>
        <v/>
      </c>
      <c r="C381" s="26" t="str">
        <f aca="false">IF(B381="","",INDEX(Заказы!$T$3:$T$29,MATCH(B381,Заказы!$A$3:$A$29,0)))</f>
        <v/>
      </c>
      <c r="D381" s="26" t="str">
        <f aca="false">IF(B381="","",VLOOKUP(B381,Каталог!$A:$C,2,0))</f>
        <v/>
      </c>
      <c r="E381" s="22" t="str">
        <f aca="false">IF(B381="","",VLOOKUP(B381,Каталог!$A:$C,3,0))</f>
        <v/>
      </c>
      <c r="F381" s="22" t="str">
        <f aca="false">IF(B381="","",C381*E381)</f>
        <v/>
      </c>
      <c r="H381" s="26" t="str">
        <f aca="false">IF(I381="","",23)</f>
        <v/>
      </c>
      <c r="I381" s="21" t="str">
        <f aca="false" t="array" ref="I381:I381">IFERROR(INDEX(Заказы!$A$3:$A$29,SMALL(IF(Заказы!$U$3:$U$29&gt;0,ROW(Заказы!$U$3:$U$29)-ROW(U$3)+1),23)),"")</f>
        <v/>
      </c>
      <c r="J381" s="26" t="str">
        <f aca="false">IF(I381="","",INDEX(Заказы!$U$3:$U$29,MATCH(I381,Заказы!$A$3:$A$29,0)))</f>
        <v/>
      </c>
      <c r="K381" s="26" t="str">
        <f aca="false">IF(I381="","",VLOOKUP(I381,Каталог!$A:$C,2,0))</f>
        <v/>
      </c>
      <c r="L381" s="22" t="str">
        <f aca="false">IF(I381="","",VLOOKUP(I381,Каталог!$A:$C,3,0))</f>
        <v/>
      </c>
      <c r="M381" s="22" t="str">
        <f aca="false">IF(I381="","",J381*L381)</f>
        <v/>
      </c>
    </row>
    <row r="382" customFormat="false" ht="15" hidden="false" customHeight="false" outlineLevel="0" collapsed="false">
      <c r="A382" s="26" t="str">
        <f aca="false">IF(B382="","",24)</f>
        <v/>
      </c>
      <c r="B382" s="21" t="str">
        <f aca="false" t="array" ref="B382:B382">IFERROR(INDEX(Заказы!$A$3:$A$29,SMALL(IF(Заказы!$T$3:$T$29&gt;0,ROW(Заказы!$T$3:$T$29)-ROW(T$3)+1),24)),"")</f>
        <v/>
      </c>
      <c r="C382" s="26" t="str">
        <f aca="false">IF(B382="","",INDEX(Заказы!$T$3:$T$29,MATCH(B382,Заказы!$A$3:$A$29,0)))</f>
        <v/>
      </c>
      <c r="D382" s="26" t="str">
        <f aca="false">IF(B382="","",VLOOKUP(B382,Каталог!$A:$C,2,0))</f>
        <v/>
      </c>
      <c r="E382" s="22" t="str">
        <f aca="false">IF(B382="","",VLOOKUP(B382,Каталог!$A:$C,3,0))</f>
        <v/>
      </c>
      <c r="F382" s="22" t="str">
        <f aca="false">IF(B382="","",C382*E382)</f>
        <v/>
      </c>
      <c r="H382" s="26" t="str">
        <f aca="false">IF(I382="","",24)</f>
        <v/>
      </c>
      <c r="I382" s="21" t="str">
        <f aca="false" t="array" ref="I382:I382">IFERROR(INDEX(Заказы!$A$3:$A$29,SMALL(IF(Заказы!$U$3:$U$29&gt;0,ROW(Заказы!$U$3:$U$29)-ROW(U$3)+1),24)),"")</f>
        <v/>
      </c>
      <c r="J382" s="26" t="str">
        <f aca="false">IF(I382="","",INDEX(Заказы!$U$3:$U$29,MATCH(I382,Заказы!$A$3:$A$29,0)))</f>
        <v/>
      </c>
      <c r="K382" s="26" t="str">
        <f aca="false">IF(I382="","",VLOOKUP(I382,Каталог!$A:$C,2,0))</f>
        <v/>
      </c>
      <c r="L382" s="22" t="str">
        <f aca="false">IF(I382="","",VLOOKUP(I382,Каталог!$A:$C,3,0))</f>
        <v/>
      </c>
      <c r="M382" s="22" t="str">
        <f aca="false">IF(I382="","",J382*L382)</f>
        <v/>
      </c>
    </row>
    <row r="383" customFormat="false" ht="15" hidden="false" customHeight="false" outlineLevel="0" collapsed="false">
      <c r="A383" s="26" t="str">
        <f aca="false">IF(B383="","",25)</f>
        <v/>
      </c>
      <c r="B383" s="21" t="str">
        <f aca="false" t="array" ref="B383:B383">IFERROR(INDEX(Заказы!$A$3:$A$29,SMALL(IF(Заказы!$T$3:$T$29&gt;0,ROW(Заказы!$T$3:$T$29)-ROW(T$3)+1),25)),"")</f>
        <v/>
      </c>
      <c r="C383" s="26" t="str">
        <f aca="false">IF(B383="","",INDEX(Заказы!$T$3:$T$29,MATCH(B383,Заказы!$A$3:$A$29,0)))</f>
        <v/>
      </c>
      <c r="D383" s="26" t="str">
        <f aca="false">IF(B383="","",VLOOKUP(B383,Каталог!$A:$C,2,0))</f>
        <v/>
      </c>
      <c r="E383" s="22" t="str">
        <f aca="false">IF(B383="","",VLOOKUP(B383,Каталог!$A:$C,3,0))</f>
        <v/>
      </c>
      <c r="F383" s="22" t="str">
        <f aca="false">IF(B383="","",C383*E383)</f>
        <v/>
      </c>
      <c r="H383" s="26" t="str">
        <f aca="false">IF(I383="","",25)</f>
        <v/>
      </c>
      <c r="I383" s="21" t="str">
        <f aca="false" t="array" ref="I383:I383">IFERROR(INDEX(Заказы!$A$3:$A$29,SMALL(IF(Заказы!$U$3:$U$29&gt;0,ROW(Заказы!$U$3:$U$29)-ROW(U$3)+1),25)),"")</f>
        <v/>
      </c>
      <c r="J383" s="26" t="str">
        <f aca="false">IF(I383="","",INDEX(Заказы!$U$3:$U$29,MATCH(I383,Заказы!$A$3:$A$29,0)))</f>
        <v/>
      </c>
      <c r="K383" s="26" t="str">
        <f aca="false">IF(I383="","",VLOOKUP(I383,Каталог!$A:$C,2,0))</f>
        <v/>
      </c>
      <c r="L383" s="22" t="str">
        <f aca="false">IF(I383="","",VLOOKUP(I383,Каталог!$A:$C,3,0))</f>
        <v/>
      </c>
      <c r="M383" s="22" t="str">
        <f aca="false">IF(I383="","",J383*L383)</f>
        <v/>
      </c>
    </row>
    <row r="384" customFormat="false" ht="15" hidden="false" customHeight="false" outlineLevel="0" collapsed="false">
      <c r="A384" s="26" t="str">
        <f aca="false">IF(B384="","",26)</f>
        <v/>
      </c>
      <c r="B384" s="21" t="str">
        <f aca="false" t="array" ref="B384:B384">IFERROR(INDEX(Заказы!$A$3:$A$29,SMALL(IF(Заказы!$T$3:$T$29&gt;0,ROW(Заказы!$T$3:$T$29)-ROW(T$3)+1),26)),"")</f>
        <v/>
      </c>
      <c r="C384" s="26" t="str">
        <f aca="false">IF(B384="","",INDEX(Заказы!$T$3:$T$29,MATCH(B384,Заказы!$A$3:$A$29,0)))</f>
        <v/>
      </c>
      <c r="D384" s="26" t="str">
        <f aca="false">IF(B384="","",VLOOKUP(B384,Каталог!$A:$C,2,0))</f>
        <v/>
      </c>
      <c r="E384" s="22" t="str">
        <f aca="false">IF(B384="","",VLOOKUP(B384,Каталог!$A:$C,3,0))</f>
        <v/>
      </c>
      <c r="F384" s="22" t="str">
        <f aca="false">IF(B384="","",C384*E384)</f>
        <v/>
      </c>
      <c r="H384" s="26" t="str">
        <f aca="false">IF(I384="","",26)</f>
        <v/>
      </c>
      <c r="I384" s="21" t="str">
        <f aca="false" t="array" ref="I384:I384">IFERROR(INDEX(Заказы!$A$3:$A$29,SMALL(IF(Заказы!$U$3:$U$29&gt;0,ROW(Заказы!$U$3:$U$29)-ROW(U$3)+1),26)),"")</f>
        <v/>
      </c>
      <c r="J384" s="26" t="str">
        <f aca="false">IF(I384="","",INDEX(Заказы!$U$3:$U$29,MATCH(I384,Заказы!$A$3:$A$29,0)))</f>
        <v/>
      </c>
      <c r="K384" s="26" t="str">
        <f aca="false">IF(I384="","",VLOOKUP(I384,Каталог!$A:$C,2,0))</f>
        <v/>
      </c>
      <c r="L384" s="22" t="str">
        <f aca="false">IF(I384="","",VLOOKUP(I384,Каталог!$A:$C,3,0))</f>
        <v/>
      </c>
      <c r="M384" s="22" t="str">
        <f aca="false">IF(I384="","",J384*L384)</f>
        <v/>
      </c>
    </row>
    <row r="385" customFormat="false" ht="15" hidden="false" customHeight="false" outlineLevel="0" collapsed="false">
      <c r="A385" s="26" t="str">
        <f aca="false">IF(B385="","",27)</f>
        <v/>
      </c>
      <c r="B385" s="21" t="str">
        <f aca="false" t="array" ref="B385:B385">IFERROR(INDEX(Заказы!$A$3:$A$29,SMALL(IF(Заказы!$T$3:$T$29&gt;0,ROW(Заказы!$T$3:$T$29)-ROW(T$3)+1),27)),"")</f>
        <v/>
      </c>
      <c r="C385" s="26" t="str">
        <f aca="false">IF(B385="","",INDEX(Заказы!$T$3:$T$29,MATCH(B385,Заказы!$A$3:$A$29,0)))</f>
        <v/>
      </c>
      <c r="D385" s="26" t="str">
        <f aca="false">IF(B385="","",VLOOKUP(B385,Каталог!$A:$C,2,0))</f>
        <v/>
      </c>
      <c r="E385" s="22" t="str">
        <f aca="false">IF(B385="","",VLOOKUP(B385,Каталог!$A:$C,3,0))</f>
        <v/>
      </c>
      <c r="F385" s="22" t="str">
        <f aca="false">IF(B385="","",C385*E385)</f>
        <v/>
      </c>
      <c r="H385" s="26" t="str">
        <f aca="false">IF(I385="","",27)</f>
        <v/>
      </c>
      <c r="I385" s="21" t="str">
        <f aca="false" t="array" ref="I385:I385">IFERROR(INDEX(Заказы!$A$3:$A$29,SMALL(IF(Заказы!$U$3:$U$29&gt;0,ROW(Заказы!$U$3:$U$29)-ROW(U$3)+1),27)),"")</f>
        <v/>
      </c>
      <c r="J385" s="26" t="str">
        <f aca="false">IF(I385="","",INDEX(Заказы!$U$3:$U$29,MATCH(I385,Заказы!$A$3:$A$29,0)))</f>
        <v/>
      </c>
      <c r="K385" s="26" t="str">
        <f aca="false">IF(I385="","",VLOOKUP(I385,Каталог!$A:$C,2,0))</f>
        <v/>
      </c>
      <c r="L385" s="22" t="str">
        <f aca="false">IF(I385="","",VLOOKUP(I385,Каталог!$A:$C,3,0))</f>
        <v/>
      </c>
      <c r="M385" s="22" t="str">
        <f aca="false">IF(I385="","",J385*L385)</f>
        <v/>
      </c>
    </row>
    <row r="386" customFormat="false" ht="15" hidden="false" customHeight="false" outlineLevel="0" collapsed="false">
      <c r="A386" s="23"/>
      <c r="B386" s="23"/>
      <c r="C386" s="23"/>
      <c r="D386" s="23"/>
      <c r="E386" s="23"/>
      <c r="F386" s="23"/>
      <c r="H386" s="23"/>
      <c r="I386" s="23"/>
      <c r="J386" s="23"/>
      <c r="K386" s="23"/>
      <c r="L386" s="23"/>
      <c r="M386" s="23"/>
    </row>
    <row r="387" customFormat="false" ht="15" hidden="false" customHeight="false" outlineLevel="0" collapsed="false">
      <c r="A387" s="24" t="str">
        <f aca="false">IF(COUNTIF(Заказы!$T$3:$T$29,"&gt;0")=0,"","Итого:")</f>
        <v/>
      </c>
      <c r="B387" s="24"/>
      <c r="C387" s="24"/>
      <c r="D387" s="24"/>
      <c r="E387" s="25" t="str">
        <f aca="false">IF(COUNTIF(Заказы!$T$3:$T$29,"&gt;0")=0,"",SUM(F359:F385))</f>
        <v/>
      </c>
      <c r="F387" s="25"/>
      <c r="H387" s="24" t="str">
        <f aca="false">IF(COUNTIF(Заказы!$U$3:$U$29,"&gt;0")=0,"","Итого:")</f>
        <v/>
      </c>
      <c r="I387" s="24"/>
      <c r="J387" s="24"/>
      <c r="K387" s="24"/>
      <c r="L387" s="25" t="str">
        <f aca="false">IF(COUNTIF(Заказы!$U$3:$U$29,"&gt;0")=0,"",SUM(M359:M385))</f>
        <v/>
      </c>
      <c r="M387" s="25"/>
    </row>
    <row r="389" customFormat="false" ht="15" hidden="false" customHeight="false" outlineLevel="0" collapsed="false">
      <c r="A389" s="18" t="str">
        <f aca="false">IF(COUNTIF(Заказы!$T$3:$T$29,"&gt;0")=0,"","Подпись отправителя: __________________")</f>
        <v/>
      </c>
      <c r="B389" s="18"/>
      <c r="C389" s="18"/>
      <c r="D389" s="18"/>
      <c r="E389" s="18"/>
      <c r="F389" s="18"/>
      <c r="H389" s="18" t="str">
        <f aca="false">IF(COUNTIF(Заказы!$U$3:$U$29,"&gt;0")=0,"","Подпись отправителя: __________________")</f>
        <v/>
      </c>
      <c r="I389" s="18"/>
      <c r="J389" s="18"/>
      <c r="K389" s="18"/>
      <c r="L389" s="18"/>
      <c r="M389" s="18"/>
    </row>
    <row r="390" customFormat="false" ht="15" hidden="false" customHeight="false" outlineLevel="0" collapsed="false">
      <c r="A390" s="18" t="str">
        <f aca="false">IF(COUNTIF(Заказы!$T$3:$T$29,"&gt;0")=0,"","Подпись получателя: ___________________")</f>
        <v/>
      </c>
      <c r="B390" s="18"/>
      <c r="C390" s="18"/>
      <c r="D390" s="18"/>
      <c r="E390" s="18"/>
      <c r="F390" s="18"/>
      <c r="H390" s="18" t="str">
        <f aca="false">IF(COUNTIF(Заказы!$U$3:$U$29,"&gt;0")=0,"","Подпись получателя: ___________________")</f>
        <v/>
      </c>
      <c r="I390" s="18"/>
      <c r="J390" s="18"/>
      <c r="K390" s="18"/>
      <c r="L390" s="18"/>
      <c r="M390" s="18"/>
    </row>
    <row r="392" customFormat="false" ht="17.35" hidden="false" customHeight="false" outlineLevel="0" collapsed="false">
      <c r="A392" s="17" t="str">
        <f aca="false">IF(COUNTIF(Заказы!$V$3:$V$29,"&gt;0")=0,"","НАКЛАДНАЯ")</f>
        <v/>
      </c>
      <c r="B392" s="17"/>
      <c r="C392" s="17"/>
      <c r="D392" s="17"/>
      <c r="E392" s="17"/>
      <c r="F392" s="17"/>
      <c r="H392" s="17" t="str">
        <f aca="false">IF(COUNTIF(Заказы!$W$3:$W$29,"&gt;0")=0,"","НАКЛАДНАЯ")</f>
        <v/>
      </c>
      <c r="I392" s="17"/>
      <c r="J392" s="17"/>
      <c r="K392" s="17"/>
      <c r="L392" s="17"/>
      <c r="M392" s="17"/>
    </row>
    <row r="393" customFormat="false" ht="15" hidden="false" customHeight="false" outlineLevel="0" collapsed="false">
      <c r="A393" s="18" t="str">
        <f aca="false">IF(COUNTIF(Заказы!$V$3:$V$29,"&gt;0")=0,"","Отправитель: Brown кондитерский цех")</f>
        <v/>
      </c>
      <c r="B393" s="18"/>
      <c r="C393" s="18"/>
      <c r="D393" s="18"/>
      <c r="E393" s="18"/>
      <c r="F393" s="18"/>
      <c r="H393" s="18" t="str">
        <f aca="false">IF(COUNTIF(Заказы!$W$3:$W$29,"&gt;0")=0,"","Отправитель: Brown кондитерский цех")</f>
        <v/>
      </c>
      <c r="I393" s="18"/>
      <c r="J393" s="18"/>
      <c r="K393" s="18"/>
      <c r="L393" s="18"/>
      <c r="M393" s="18"/>
    </row>
    <row r="394" customFormat="false" ht="15" hidden="false" customHeight="false" outlineLevel="0" collapsed="false">
      <c r="A394" s="18" t="str">
        <f aca="false">IF(COUNTIF(Заказы!$V$3:$V$29,"&gt;0")=0,"","Получатель: "&amp;Заказы!V$2)</f>
        <v/>
      </c>
      <c r="B394" s="18"/>
      <c r="C394" s="18"/>
      <c r="D394" s="18"/>
      <c r="E394" s="18"/>
      <c r="F394" s="18"/>
      <c r="H394" s="18" t="str">
        <f aca="false">IF(COUNTIF(Заказы!$W$3:$W$29,"&gt;0")=0,"","Получатель: "&amp;Заказы!W$2)</f>
        <v/>
      </c>
      <c r="I394" s="18"/>
      <c r="J394" s="18"/>
      <c r="K394" s="18"/>
      <c r="L394" s="18"/>
      <c r="M394" s="18"/>
    </row>
    <row r="395" customFormat="false" ht="15" hidden="false" customHeight="false" outlineLevel="0" collapsed="false">
      <c r="A395" s="19" t="str">
        <f aca="false">IF(COUNTIF(Заказы!$V$3:$V$29,"&gt;0")=0,"","Накладная от: "&amp;TEXT(Заказы!$B$1,"dd.mm.yyyy"))</f>
        <v/>
      </c>
      <c r="B395" s="19"/>
      <c r="C395" s="19"/>
      <c r="D395" s="19"/>
      <c r="E395" s="19"/>
      <c r="F395" s="19"/>
      <c r="H395" s="19" t="str">
        <f aca="false">IF(COUNTIF(Заказы!$W$3:$W$29,"&gt;0")=0,"","Накладная от: "&amp;TEXT(Заказы!$B$1,"dd.mm.yyyy"))</f>
        <v/>
      </c>
      <c r="I395" s="19"/>
      <c r="J395" s="19"/>
      <c r="K395" s="19"/>
      <c r="L395" s="19"/>
      <c r="M395" s="19"/>
    </row>
    <row r="397" customFormat="false" ht="15" hidden="false" customHeight="false" outlineLevel="0" collapsed="false">
      <c r="A397" s="4" t="str">
        <f aca="false">IF(COUNTIF(Заказы!$V$3:$V$29,"&gt;0")=0,"","№")</f>
        <v/>
      </c>
      <c r="B397" s="4" t="str">
        <f aca="false">IF(COUNTIF(Заказы!$V$3:$V$29,"&gt;0")=0,"","Наименование")</f>
        <v/>
      </c>
      <c r="C397" s="4" t="str">
        <f aca="false">IF(COUNTIF(Заказы!$V$3:$V$29,"&gt;0")=0,"","Кол.")</f>
        <v/>
      </c>
      <c r="D397" s="4" t="str">
        <f aca="false">IF(COUNTIF(Заказы!$V$3:$V$29,"&gt;0")=0,"","Ед.")</f>
        <v/>
      </c>
      <c r="E397" s="4" t="str">
        <f aca="false">IF(COUNTIF(Заказы!$V$3:$V$29,"&gt;0")=0,"","Цена")</f>
        <v/>
      </c>
      <c r="F397" s="4" t="str">
        <f aca="false">IF(COUNTIF(Заказы!$V$3:$V$29,"&gt;0")=0,"","Сумма")</f>
        <v/>
      </c>
      <c r="H397" s="4" t="str">
        <f aca="false">IF(COUNTIF(Заказы!$W$3:$W$29,"&gt;0")=0,"","№")</f>
        <v/>
      </c>
      <c r="I397" s="4" t="str">
        <f aca="false">IF(COUNTIF(Заказы!$W$3:$W$29,"&gt;0")=0,"","Наименование")</f>
        <v/>
      </c>
      <c r="J397" s="4" t="str">
        <f aca="false">IF(COUNTIF(Заказы!$W$3:$W$29,"&gt;0")=0,"","Кол.")</f>
        <v/>
      </c>
      <c r="K397" s="4" t="str">
        <f aca="false">IF(COUNTIF(Заказы!$W$3:$W$29,"&gt;0")=0,"","Ед.")</f>
        <v/>
      </c>
      <c r="L397" s="4" t="str">
        <f aca="false">IF(COUNTIF(Заказы!$W$3:$W$29,"&gt;0")=0,"","Цена")</f>
        <v/>
      </c>
      <c r="M397" s="4" t="str">
        <f aca="false">IF(COUNTIF(Заказы!$W$3:$W$29,"&gt;0")=0,"","Сумма")</f>
        <v/>
      </c>
    </row>
    <row r="398" customFormat="false" ht="15" hidden="false" customHeight="false" outlineLevel="0" collapsed="false">
      <c r="A398" s="26" t="str">
        <f aca="false">IF(B398="","",1)</f>
        <v/>
      </c>
      <c r="B398" s="21" t="str">
        <f aca="false" t="array" ref="B398:B398">IFERROR(INDEX(Заказы!$A$3:$A$29,SMALL(IF(Заказы!$V$3:$V$29&gt;0,ROW(Заказы!$V$3:$V$29)-ROW(V$3)+1),1)),"")</f>
        <v/>
      </c>
      <c r="C398" s="26" t="str">
        <f aca="false">IF(B398="","",INDEX(Заказы!$V$3:$V$29,MATCH(B398,Заказы!$A$3:$A$29,0)))</f>
        <v/>
      </c>
      <c r="D398" s="26" t="str">
        <f aca="false">IF(B398="","",VLOOKUP(B398,Каталог!$A:$C,2,0))</f>
        <v/>
      </c>
      <c r="E398" s="22" t="str">
        <f aca="false">IF(B398="","",VLOOKUP(B398,Каталог!$A:$C,3,0))</f>
        <v/>
      </c>
      <c r="F398" s="22" t="str">
        <f aca="false">IF(B398="","",C398*E398)</f>
        <v/>
      </c>
      <c r="H398" s="26" t="str">
        <f aca="false">IF(I398="","",1)</f>
        <v/>
      </c>
      <c r="I398" s="21" t="str">
        <f aca="false" t="array" ref="I398:I398">IFERROR(INDEX(Заказы!$A$3:$A$29,SMALL(IF(Заказы!$W$3:$W$29&gt;0,ROW(Заказы!$W$3:$W$29)-ROW(W$3)+1),1)),"")</f>
        <v/>
      </c>
      <c r="J398" s="26" t="str">
        <f aca="false">IF(I398="","",INDEX(Заказы!$W$3:$W$29,MATCH(I398,Заказы!$A$3:$A$29,0)))</f>
        <v/>
      </c>
      <c r="K398" s="26" t="str">
        <f aca="false">IF(I398="","",VLOOKUP(I398,Каталог!$A:$C,2,0))</f>
        <v/>
      </c>
      <c r="L398" s="22" t="str">
        <f aca="false">IF(I398="","",VLOOKUP(I398,Каталог!$A:$C,3,0))</f>
        <v/>
      </c>
      <c r="M398" s="22" t="str">
        <f aca="false">IF(I398="","",J398*L398)</f>
        <v/>
      </c>
    </row>
    <row r="399" customFormat="false" ht="15" hidden="false" customHeight="false" outlineLevel="0" collapsed="false">
      <c r="A399" s="26" t="str">
        <f aca="false">IF(B399="","",2)</f>
        <v/>
      </c>
      <c r="B399" s="21" t="str">
        <f aca="false" t="array" ref="B399:B399">IFERROR(INDEX(Заказы!$A$3:$A$29,SMALL(IF(Заказы!$V$3:$V$29&gt;0,ROW(Заказы!$V$3:$V$29)-ROW(V$3)+1),2)),"")</f>
        <v/>
      </c>
      <c r="C399" s="26" t="str">
        <f aca="false">IF(B399="","",INDEX(Заказы!$V$3:$V$29,MATCH(B399,Заказы!$A$3:$A$29,0)))</f>
        <v/>
      </c>
      <c r="D399" s="26" t="str">
        <f aca="false">IF(B399="","",VLOOKUP(B399,Каталог!$A:$C,2,0))</f>
        <v/>
      </c>
      <c r="E399" s="22" t="str">
        <f aca="false">IF(B399="","",VLOOKUP(B399,Каталог!$A:$C,3,0))</f>
        <v/>
      </c>
      <c r="F399" s="22" t="str">
        <f aca="false">IF(B399="","",C399*E399)</f>
        <v/>
      </c>
      <c r="H399" s="26" t="str">
        <f aca="false">IF(I399="","",2)</f>
        <v/>
      </c>
      <c r="I399" s="21" t="str">
        <f aca="false" t="array" ref="I399:I399">IFERROR(INDEX(Заказы!$A$3:$A$29,SMALL(IF(Заказы!$W$3:$W$29&gt;0,ROW(Заказы!$W$3:$W$29)-ROW(W$3)+1),2)),"")</f>
        <v/>
      </c>
      <c r="J399" s="26" t="str">
        <f aca="false">IF(I399="","",INDEX(Заказы!$W$3:$W$29,MATCH(I399,Заказы!$A$3:$A$29,0)))</f>
        <v/>
      </c>
      <c r="K399" s="26" t="str">
        <f aca="false">IF(I399="","",VLOOKUP(I399,Каталог!$A:$C,2,0))</f>
        <v/>
      </c>
      <c r="L399" s="22" t="str">
        <f aca="false">IF(I399="","",VLOOKUP(I399,Каталог!$A:$C,3,0))</f>
        <v/>
      </c>
      <c r="M399" s="22" t="str">
        <f aca="false">IF(I399="","",J399*L399)</f>
        <v/>
      </c>
    </row>
    <row r="400" customFormat="false" ht="15" hidden="false" customHeight="false" outlineLevel="0" collapsed="false">
      <c r="A400" s="26" t="str">
        <f aca="false">IF(B400="","",3)</f>
        <v/>
      </c>
      <c r="B400" s="21" t="str">
        <f aca="false" t="array" ref="B400:B400">IFERROR(INDEX(Заказы!$A$3:$A$29,SMALL(IF(Заказы!$V$3:$V$29&gt;0,ROW(Заказы!$V$3:$V$29)-ROW(V$3)+1),3)),"")</f>
        <v/>
      </c>
      <c r="C400" s="26" t="str">
        <f aca="false">IF(B400="","",INDEX(Заказы!$V$3:$V$29,MATCH(B400,Заказы!$A$3:$A$29,0)))</f>
        <v/>
      </c>
      <c r="D400" s="26" t="str">
        <f aca="false">IF(B400="","",VLOOKUP(B400,Каталог!$A:$C,2,0))</f>
        <v/>
      </c>
      <c r="E400" s="22" t="str">
        <f aca="false">IF(B400="","",VLOOKUP(B400,Каталог!$A:$C,3,0))</f>
        <v/>
      </c>
      <c r="F400" s="22" t="str">
        <f aca="false">IF(B400="","",C400*E400)</f>
        <v/>
      </c>
      <c r="H400" s="26" t="str">
        <f aca="false">IF(I400="","",3)</f>
        <v/>
      </c>
      <c r="I400" s="21" t="str">
        <f aca="false" t="array" ref="I400:I400">IFERROR(INDEX(Заказы!$A$3:$A$29,SMALL(IF(Заказы!$W$3:$W$29&gt;0,ROW(Заказы!$W$3:$W$29)-ROW(W$3)+1),3)),"")</f>
        <v/>
      </c>
      <c r="J400" s="26" t="str">
        <f aca="false">IF(I400="","",INDEX(Заказы!$W$3:$W$29,MATCH(I400,Заказы!$A$3:$A$29,0)))</f>
        <v/>
      </c>
      <c r="K400" s="26" t="str">
        <f aca="false">IF(I400="","",VLOOKUP(I400,Каталог!$A:$C,2,0))</f>
        <v/>
      </c>
      <c r="L400" s="22" t="str">
        <f aca="false">IF(I400="","",VLOOKUP(I400,Каталог!$A:$C,3,0))</f>
        <v/>
      </c>
      <c r="M400" s="22" t="str">
        <f aca="false">IF(I400="","",J400*L400)</f>
        <v/>
      </c>
    </row>
    <row r="401" customFormat="false" ht="15" hidden="false" customHeight="false" outlineLevel="0" collapsed="false">
      <c r="A401" s="26" t="str">
        <f aca="false">IF(B401="","",4)</f>
        <v/>
      </c>
      <c r="B401" s="21" t="str">
        <f aca="false" t="array" ref="B401:B401">IFERROR(INDEX(Заказы!$A$3:$A$29,SMALL(IF(Заказы!$V$3:$V$29&gt;0,ROW(Заказы!$V$3:$V$29)-ROW(V$3)+1),4)),"")</f>
        <v/>
      </c>
      <c r="C401" s="26" t="str">
        <f aca="false">IF(B401="","",INDEX(Заказы!$V$3:$V$29,MATCH(B401,Заказы!$A$3:$A$29,0)))</f>
        <v/>
      </c>
      <c r="D401" s="26" t="str">
        <f aca="false">IF(B401="","",VLOOKUP(B401,Каталог!$A:$C,2,0))</f>
        <v/>
      </c>
      <c r="E401" s="22" t="str">
        <f aca="false">IF(B401="","",VLOOKUP(B401,Каталог!$A:$C,3,0))</f>
        <v/>
      </c>
      <c r="F401" s="22" t="str">
        <f aca="false">IF(B401="","",C401*E401)</f>
        <v/>
      </c>
      <c r="H401" s="26" t="str">
        <f aca="false">IF(I401="","",4)</f>
        <v/>
      </c>
      <c r="I401" s="21" t="str">
        <f aca="false" t="array" ref="I401:I401">IFERROR(INDEX(Заказы!$A$3:$A$29,SMALL(IF(Заказы!$W$3:$W$29&gt;0,ROW(Заказы!$W$3:$W$29)-ROW(W$3)+1),4)),"")</f>
        <v/>
      </c>
      <c r="J401" s="26" t="str">
        <f aca="false">IF(I401="","",INDEX(Заказы!$W$3:$W$29,MATCH(I401,Заказы!$A$3:$A$29,0)))</f>
        <v/>
      </c>
      <c r="K401" s="26" t="str">
        <f aca="false">IF(I401="","",VLOOKUP(I401,Каталог!$A:$C,2,0))</f>
        <v/>
      </c>
      <c r="L401" s="22" t="str">
        <f aca="false">IF(I401="","",VLOOKUP(I401,Каталог!$A:$C,3,0))</f>
        <v/>
      </c>
      <c r="M401" s="22" t="str">
        <f aca="false">IF(I401="","",J401*L401)</f>
        <v/>
      </c>
    </row>
    <row r="402" customFormat="false" ht="15" hidden="false" customHeight="false" outlineLevel="0" collapsed="false">
      <c r="A402" s="26" t="str">
        <f aca="false">IF(B402="","",5)</f>
        <v/>
      </c>
      <c r="B402" s="21" t="str">
        <f aca="false" t="array" ref="B402:B402">IFERROR(INDEX(Заказы!$A$3:$A$29,SMALL(IF(Заказы!$V$3:$V$29&gt;0,ROW(Заказы!$V$3:$V$29)-ROW(V$3)+1),5)),"")</f>
        <v/>
      </c>
      <c r="C402" s="26" t="str">
        <f aca="false">IF(B402="","",INDEX(Заказы!$V$3:$V$29,MATCH(B402,Заказы!$A$3:$A$29,0)))</f>
        <v/>
      </c>
      <c r="D402" s="26" t="str">
        <f aca="false">IF(B402="","",VLOOKUP(B402,Каталог!$A:$C,2,0))</f>
        <v/>
      </c>
      <c r="E402" s="22" t="str">
        <f aca="false">IF(B402="","",VLOOKUP(B402,Каталог!$A:$C,3,0))</f>
        <v/>
      </c>
      <c r="F402" s="22" t="str">
        <f aca="false">IF(B402="","",C402*E402)</f>
        <v/>
      </c>
      <c r="H402" s="26" t="str">
        <f aca="false">IF(I402="","",5)</f>
        <v/>
      </c>
      <c r="I402" s="21" t="str">
        <f aca="false" t="array" ref="I402:I402">IFERROR(INDEX(Заказы!$A$3:$A$29,SMALL(IF(Заказы!$W$3:$W$29&gt;0,ROW(Заказы!$W$3:$W$29)-ROW(W$3)+1),5)),"")</f>
        <v/>
      </c>
      <c r="J402" s="26" t="str">
        <f aca="false">IF(I402="","",INDEX(Заказы!$W$3:$W$29,MATCH(I402,Заказы!$A$3:$A$29,0)))</f>
        <v/>
      </c>
      <c r="K402" s="26" t="str">
        <f aca="false">IF(I402="","",VLOOKUP(I402,Каталог!$A:$C,2,0))</f>
        <v/>
      </c>
      <c r="L402" s="22" t="str">
        <f aca="false">IF(I402="","",VLOOKUP(I402,Каталог!$A:$C,3,0))</f>
        <v/>
      </c>
      <c r="M402" s="22" t="str">
        <f aca="false">IF(I402="","",J402*L402)</f>
        <v/>
      </c>
    </row>
    <row r="403" customFormat="false" ht="15" hidden="false" customHeight="false" outlineLevel="0" collapsed="false">
      <c r="A403" s="26" t="str">
        <f aca="false">IF(B403="","",6)</f>
        <v/>
      </c>
      <c r="B403" s="21" t="str">
        <f aca="false" t="array" ref="B403:B403">IFERROR(INDEX(Заказы!$A$3:$A$29,SMALL(IF(Заказы!$V$3:$V$29&gt;0,ROW(Заказы!$V$3:$V$29)-ROW(V$3)+1),6)),"")</f>
        <v/>
      </c>
      <c r="C403" s="26" t="str">
        <f aca="false">IF(B403="","",INDEX(Заказы!$V$3:$V$29,MATCH(B403,Заказы!$A$3:$A$29,0)))</f>
        <v/>
      </c>
      <c r="D403" s="26" t="str">
        <f aca="false">IF(B403="","",VLOOKUP(B403,Каталог!$A:$C,2,0))</f>
        <v/>
      </c>
      <c r="E403" s="22" t="str">
        <f aca="false">IF(B403="","",VLOOKUP(B403,Каталог!$A:$C,3,0))</f>
        <v/>
      </c>
      <c r="F403" s="22" t="str">
        <f aca="false">IF(B403="","",C403*E403)</f>
        <v/>
      </c>
      <c r="H403" s="26" t="str">
        <f aca="false">IF(I403="","",6)</f>
        <v/>
      </c>
      <c r="I403" s="21" t="str">
        <f aca="false" t="array" ref="I403:I403">IFERROR(INDEX(Заказы!$A$3:$A$29,SMALL(IF(Заказы!$W$3:$W$29&gt;0,ROW(Заказы!$W$3:$W$29)-ROW(W$3)+1),6)),"")</f>
        <v/>
      </c>
      <c r="J403" s="26" t="str">
        <f aca="false">IF(I403="","",INDEX(Заказы!$W$3:$W$29,MATCH(I403,Заказы!$A$3:$A$29,0)))</f>
        <v/>
      </c>
      <c r="K403" s="26" t="str">
        <f aca="false">IF(I403="","",VLOOKUP(I403,Каталог!$A:$C,2,0))</f>
        <v/>
      </c>
      <c r="L403" s="22" t="str">
        <f aca="false">IF(I403="","",VLOOKUP(I403,Каталог!$A:$C,3,0))</f>
        <v/>
      </c>
      <c r="M403" s="22" t="str">
        <f aca="false">IF(I403="","",J403*L403)</f>
        <v/>
      </c>
    </row>
    <row r="404" customFormat="false" ht="15" hidden="false" customHeight="false" outlineLevel="0" collapsed="false">
      <c r="A404" s="26" t="str">
        <f aca="false">IF(B404="","",7)</f>
        <v/>
      </c>
      <c r="B404" s="21" t="str">
        <f aca="false" t="array" ref="B404:B404">IFERROR(INDEX(Заказы!$A$3:$A$29,SMALL(IF(Заказы!$V$3:$V$29&gt;0,ROW(Заказы!$V$3:$V$29)-ROW(V$3)+1),7)),"")</f>
        <v/>
      </c>
      <c r="C404" s="26" t="str">
        <f aca="false">IF(B404="","",INDEX(Заказы!$V$3:$V$29,MATCH(B404,Заказы!$A$3:$A$29,0)))</f>
        <v/>
      </c>
      <c r="D404" s="26" t="str">
        <f aca="false">IF(B404="","",VLOOKUP(B404,Каталог!$A:$C,2,0))</f>
        <v/>
      </c>
      <c r="E404" s="22" t="str">
        <f aca="false">IF(B404="","",VLOOKUP(B404,Каталог!$A:$C,3,0))</f>
        <v/>
      </c>
      <c r="F404" s="22" t="str">
        <f aca="false">IF(B404="","",C404*E404)</f>
        <v/>
      </c>
      <c r="H404" s="26" t="str">
        <f aca="false">IF(I404="","",7)</f>
        <v/>
      </c>
      <c r="I404" s="21" t="str">
        <f aca="false" t="array" ref="I404:I404">IFERROR(INDEX(Заказы!$A$3:$A$29,SMALL(IF(Заказы!$W$3:$W$29&gt;0,ROW(Заказы!$W$3:$W$29)-ROW(W$3)+1),7)),"")</f>
        <v/>
      </c>
      <c r="J404" s="26" t="str">
        <f aca="false">IF(I404="","",INDEX(Заказы!$W$3:$W$29,MATCH(I404,Заказы!$A$3:$A$29,0)))</f>
        <v/>
      </c>
      <c r="K404" s="26" t="str">
        <f aca="false">IF(I404="","",VLOOKUP(I404,Каталог!$A:$C,2,0))</f>
        <v/>
      </c>
      <c r="L404" s="22" t="str">
        <f aca="false">IF(I404="","",VLOOKUP(I404,Каталог!$A:$C,3,0))</f>
        <v/>
      </c>
      <c r="M404" s="22" t="str">
        <f aca="false">IF(I404="","",J404*L404)</f>
        <v/>
      </c>
    </row>
    <row r="405" customFormat="false" ht="15" hidden="false" customHeight="false" outlineLevel="0" collapsed="false">
      <c r="A405" s="26" t="str">
        <f aca="false">IF(B405="","",8)</f>
        <v/>
      </c>
      <c r="B405" s="21" t="str">
        <f aca="false" t="array" ref="B405:B405">IFERROR(INDEX(Заказы!$A$3:$A$29,SMALL(IF(Заказы!$V$3:$V$29&gt;0,ROW(Заказы!$V$3:$V$29)-ROW(V$3)+1),8)),"")</f>
        <v/>
      </c>
      <c r="C405" s="26" t="str">
        <f aca="false">IF(B405="","",INDEX(Заказы!$V$3:$V$29,MATCH(B405,Заказы!$A$3:$A$29,0)))</f>
        <v/>
      </c>
      <c r="D405" s="26" t="str">
        <f aca="false">IF(B405="","",VLOOKUP(B405,Каталог!$A:$C,2,0))</f>
        <v/>
      </c>
      <c r="E405" s="22" t="str">
        <f aca="false">IF(B405="","",VLOOKUP(B405,Каталог!$A:$C,3,0))</f>
        <v/>
      </c>
      <c r="F405" s="22" t="str">
        <f aca="false">IF(B405="","",C405*E405)</f>
        <v/>
      </c>
      <c r="H405" s="26" t="str">
        <f aca="false">IF(I405="","",8)</f>
        <v/>
      </c>
      <c r="I405" s="21" t="str">
        <f aca="false" t="array" ref="I405:I405">IFERROR(INDEX(Заказы!$A$3:$A$29,SMALL(IF(Заказы!$W$3:$W$29&gt;0,ROW(Заказы!$W$3:$W$29)-ROW(W$3)+1),8)),"")</f>
        <v/>
      </c>
      <c r="J405" s="26" t="str">
        <f aca="false">IF(I405="","",INDEX(Заказы!$W$3:$W$29,MATCH(I405,Заказы!$A$3:$A$29,0)))</f>
        <v/>
      </c>
      <c r="K405" s="26" t="str">
        <f aca="false">IF(I405="","",VLOOKUP(I405,Каталог!$A:$C,2,0))</f>
        <v/>
      </c>
      <c r="L405" s="22" t="str">
        <f aca="false">IF(I405="","",VLOOKUP(I405,Каталог!$A:$C,3,0))</f>
        <v/>
      </c>
      <c r="M405" s="22" t="str">
        <f aca="false">IF(I405="","",J405*L405)</f>
        <v/>
      </c>
    </row>
    <row r="406" customFormat="false" ht="15" hidden="false" customHeight="false" outlineLevel="0" collapsed="false">
      <c r="A406" s="26" t="str">
        <f aca="false">IF(B406="","",9)</f>
        <v/>
      </c>
      <c r="B406" s="21" t="str">
        <f aca="false" t="array" ref="B406:B406">IFERROR(INDEX(Заказы!$A$3:$A$29,SMALL(IF(Заказы!$V$3:$V$29&gt;0,ROW(Заказы!$V$3:$V$29)-ROW(V$3)+1),9)),"")</f>
        <v/>
      </c>
      <c r="C406" s="26" t="str">
        <f aca="false">IF(B406="","",INDEX(Заказы!$V$3:$V$29,MATCH(B406,Заказы!$A$3:$A$29,0)))</f>
        <v/>
      </c>
      <c r="D406" s="26" t="str">
        <f aca="false">IF(B406="","",VLOOKUP(B406,Каталог!$A:$C,2,0))</f>
        <v/>
      </c>
      <c r="E406" s="22" t="str">
        <f aca="false">IF(B406="","",VLOOKUP(B406,Каталог!$A:$C,3,0))</f>
        <v/>
      </c>
      <c r="F406" s="22" t="str">
        <f aca="false">IF(B406="","",C406*E406)</f>
        <v/>
      </c>
      <c r="H406" s="26" t="str">
        <f aca="false">IF(I406="","",9)</f>
        <v/>
      </c>
      <c r="I406" s="21" t="str">
        <f aca="false" t="array" ref="I406:I406">IFERROR(INDEX(Заказы!$A$3:$A$29,SMALL(IF(Заказы!$W$3:$W$29&gt;0,ROW(Заказы!$W$3:$W$29)-ROW(W$3)+1),9)),"")</f>
        <v/>
      </c>
      <c r="J406" s="26" t="str">
        <f aca="false">IF(I406="","",INDEX(Заказы!$W$3:$W$29,MATCH(I406,Заказы!$A$3:$A$29,0)))</f>
        <v/>
      </c>
      <c r="K406" s="26" t="str">
        <f aca="false">IF(I406="","",VLOOKUP(I406,Каталог!$A:$C,2,0))</f>
        <v/>
      </c>
      <c r="L406" s="22" t="str">
        <f aca="false">IF(I406="","",VLOOKUP(I406,Каталог!$A:$C,3,0))</f>
        <v/>
      </c>
      <c r="M406" s="22" t="str">
        <f aca="false">IF(I406="","",J406*L406)</f>
        <v/>
      </c>
    </row>
    <row r="407" customFormat="false" ht="15" hidden="false" customHeight="false" outlineLevel="0" collapsed="false">
      <c r="A407" s="26" t="str">
        <f aca="false">IF(B407="","",10)</f>
        <v/>
      </c>
      <c r="B407" s="21" t="str">
        <f aca="false" t="array" ref="B407:B407">IFERROR(INDEX(Заказы!$A$3:$A$29,SMALL(IF(Заказы!$V$3:$V$29&gt;0,ROW(Заказы!$V$3:$V$29)-ROW(V$3)+1),10)),"")</f>
        <v/>
      </c>
      <c r="C407" s="26" t="str">
        <f aca="false">IF(B407="","",INDEX(Заказы!$V$3:$V$29,MATCH(B407,Заказы!$A$3:$A$29,0)))</f>
        <v/>
      </c>
      <c r="D407" s="26" t="str">
        <f aca="false">IF(B407="","",VLOOKUP(B407,Каталог!$A:$C,2,0))</f>
        <v/>
      </c>
      <c r="E407" s="22" t="str">
        <f aca="false">IF(B407="","",VLOOKUP(B407,Каталог!$A:$C,3,0))</f>
        <v/>
      </c>
      <c r="F407" s="22" t="str">
        <f aca="false">IF(B407="","",C407*E407)</f>
        <v/>
      </c>
      <c r="H407" s="26" t="str">
        <f aca="false">IF(I407="","",10)</f>
        <v/>
      </c>
      <c r="I407" s="21" t="str">
        <f aca="false" t="array" ref="I407:I407">IFERROR(INDEX(Заказы!$A$3:$A$29,SMALL(IF(Заказы!$W$3:$W$29&gt;0,ROW(Заказы!$W$3:$W$29)-ROW(W$3)+1),10)),"")</f>
        <v/>
      </c>
      <c r="J407" s="26" t="str">
        <f aca="false">IF(I407="","",INDEX(Заказы!$W$3:$W$29,MATCH(I407,Заказы!$A$3:$A$29,0)))</f>
        <v/>
      </c>
      <c r="K407" s="26" t="str">
        <f aca="false">IF(I407="","",VLOOKUP(I407,Каталог!$A:$C,2,0))</f>
        <v/>
      </c>
      <c r="L407" s="22" t="str">
        <f aca="false">IF(I407="","",VLOOKUP(I407,Каталог!$A:$C,3,0))</f>
        <v/>
      </c>
      <c r="M407" s="22" t="str">
        <f aca="false">IF(I407="","",J407*L407)</f>
        <v/>
      </c>
    </row>
    <row r="408" customFormat="false" ht="15" hidden="false" customHeight="false" outlineLevel="0" collapsed="false">
      <c r="A408" s="26" t="str">
        <f aca="false">IF(B408="","",11)</f>
        <v/>
      </c>
      <c r="B408" s="21" t="str">
        <f aca="false" t="array" ref="B408:B408">IFERROR(INDEX(Заказы!$A$3:$A$29,SMALL(IF(Заказы!$V$3:$V$29&gt;0,ROW(Заказы!$V$3:$V$29)-ROW(V$3)+1),11)),"")</f>
        <v/>
      </c>
      <c r="C408" s="26" t="str">
        <f aca="false">IF(B408="","",INDEX(Заказы!$V$3:$V$29,MATCH(B408,Заказы!$A$3:$A$29,0)))</f>
        <v/>
      </c>
      <c r="D408" s="26" t="str">
        <f aca="false">IF(B408="","",VLOOKUP(B408,Каталог!$A:$C,2,0))</f>
        <v/>
      </c>
      <c r="E408" s="22" t="str">
        <f aca="false">IF(B408="","",VLOOKUP(B408,Каталог!$A:$C,3,0))</f>
        <v/>
      </c>
      <c r="F408" s="22" t="str">
        <f aca="false">IF(B408="","",C408*E408)</f>
        <v/>
      </c>
      <c r="H408" s="26" t="str">
        <f aca="false">IF(I408="","",11)</f>
        <v/>
      </c>
      <c r="I408" s="21" t="str">
        <f aca="false" t="array" ref="I408:I408">IFERROR(INDEX(Заказы!$A$3:$A$29,SMALL(IF(Заказы!$W$3:$W$29&gt;0,ROW(Заказы!$W$3:$W$29)-ROW(W$3)+1),11)),"")</f>
        <v/>
      </c>
      <c r="J408" s="26" t="str">
        <f aca="false">IF(I408="","",INDEX(Заказы!$W$3:$W$29,MATCH(I408,Заказы!$A$3:$A$29,0)))</f>
        <v/>
      </c>
      <c r="K408" s="26" t="str">
        <f aca="false">IF(I408="","",VLOOKUP(I408,Каталог!$A:$C,2,0))</f>
        <v/>
      </c>
      <c r="L408" s="22" t="str">
        <f aca="false">IF(I408="","",VLOOKUP(I408,Каталог!$A:$C,3,0))</f>
        <v/>
      </c>
      <c r="M408" s="22" t="str">
        <f aca="false">IF(I408="","",J408*L408)</f>
        <v/>
      </c>
    </row>
    <row r="409" customFormat="false" ht="15" hidden="false" customHeight="false" outlineLevel="0" collapsed="false">
      <c r="A409" s="26" t="str">
        <f aca="false">IF(B409="","",12)</f>
        <v/>
      </c>
      <c r="B409" s="21" t="str">
        <f aca="false" t="array" ref="B409:B409">IFERROR(INDEX(Заказы!$A$3:$A$29,SMALL(IF(Заказы!$V$3:$V$29&gt;0,ROW(Заказы!$V$3:$V$29)-ROW(V$3)+1),12)),"")</f>
        <v/>
      </c>
      <c r="C409" s="26" t="str">
        <f aca="false">IF(B409="","",INDEX(Заказы!$V$3:$V$29,MATCH(B409,Заказы!$A$3:$A$29,0)))</f>
        <v/>
      </c>
      <c r="D409" s="26" t="str">
        <f aca="false">IF(B409="","",VLOOKUP(B409,Каталог!$A:$C,2,0))</f>
        <v/>
      </c>
      <c r="E409" s="22" t="str">
        <f aca="false">IF(B409="","",VLOOKUP(B409,Каталог!$A:$C,3,0))</f>
        <v/>
      </c>
      <c r="F409" s="22" t="str">
        <f aca="false">IF(B409="","",C409*E409)</f>
        <v/>
      </c>
      <c r="H409" s="26" t="str">
        <f aca="false">IF(I409="","",12)</f>
        <v/>
      </c>
      <c r="I409" s="21" t="str">
        <f aca="false" t="array" ref="I409:I409">IFERROR(INDEX(Заказы!$A$3:$A$29,SMALL(IF(Заказы!$W$3:$W$29&gt;0,ROW(Заказы!$W$3:$W$29)-ROW(W$3)+1),12)),"")</f>
        <v/>
      </c>
      <c r="J409" s="26" t="str">
        <f aca="false">IF(I409="","",INDEX(Заказы!$W$3:$W$29,MATCH(I409,Заказы!$A$3:$A$29,0)))</f>
        <v/>
      </c>
      <c r="K409" s="26" t="str">
        <f aca="false">IF(I409="","",VLOOKUP(I409,Каталог!$A:$C,2,0))</f>
        <v/>
      </c>
      <c r="L409" s="22" t="str">
        <f aca="false">IF(I409="","",VLOOKUP(I409,Каталог!$A:$C,3,0))</f>
        <v/>
      </c>
      <c r="M409" s="22" t="str">
        <f aca="false">IF(I409="","",J409*L409)</f>
        <v/>
      </c>
    </row>
    <row r="410" customFormat="false" ht="15" hidden="false" customHeight="false" outlineLevel="0" collapsed="false">
      <c r="A410" s="26" t="str">
        <f aca="false">IF(B410="","",13)</f>
        <v/>
      </c>
      <c r="B410" s="21" t="str">
        <f aca="false" t="array" ref="B410:B410">IFERROR(INDEX(Заказы!$A$3:$A$29,SMALL(IF(Заказы!$V$3:$V$29&gt;0,ROW(Заказы!$V$3:$V$29)-ROW(V$3)+1),13)),"")</f>
        <v/>
      </c>
      <c r="C410" s="26" t="str">
        <f aca="false">IF(B410="","",INDEX(Заказы!$V$3:$V$29,MATCH(B410,Заказы!$A$3:$A$29,0)))</f>
        <v/>
      </c>
      <c r="D410" s="26" t="str">
        <f aca="false">IF(B410="","",VLOOKUP(B410,Каталог!$A:$C,2,0))</f>
        <v/>
      </c>
      <c r="E410" s="22" t="str">
        <f aca="false">IF(B410="","",VLOOKUP(B410,Каталог!$A:$C,3,0))</f>
        <v/>
      </c>
      <c r="F410" s="22" t="str">
        <f aca="false">IF(B410="","",C410*E410)</f>
        <v/>
      </c>
      <c r="H410" s="26" t="str">
        <f aca="false">IF(I410="","",13)</f>
        <v/>
      </c>
      <c r="I410" s="21" t="str">
        <f aca="false" t="array" ref="I410:I410">IFERROR(INDEX(Заказы!$A$3:$A$29,SMALL(IF(Заказы!$W$3:$W$29&gt;0,ROW(Заказы!$W$3:$W$29)-ROW(W$3)+1),13)),"")</f>
        <v/>
      </c>
      <c r="J410" s="26" t="str">
        <f aca="false">IF(I410="","",INDEX(Заказы!$W$3:$W$29,MATCH(I410,Заказы!$A$3:$A$29,0)))</f>
        <v/>
      </c>
      <c r="K410" s="26" t="str">
        <f aca="false">IF(I410="","",VLOOKUP(I410,Каталог!$A:$C,2,0))</f>
        <v/>
      </c>
      <c r="L410" s="22" t="str">
        <f aca="false">IF(I410="","",VLOOKUP(I410,Каталог!$A:$C,3,0))</f>
        <v/>
      </c>
      <c r="M410" s="22" t="str">
        <f aca="false">IF(I410="","",J410*L410)</f>
        <v/>
      </c>
    </row>
    <row r="411" customFormat="false" ht="15" hidden="false" customHeight="false" outlineLevel="0" collapsed="false">
      <c r="A411" s="26" t="str">
        <f aca="false">IF(B411="","",14)</f>
        <v/>
      </c>
      <c r="B411" s="21" t="str">
        <f aca="false" t="array" ref="B411:B411">IFERROR(INDEX(Заказы!$A$3:$A$29,SMALL(IF(Заказы!$V$3:$V$29&gt;0,ROW(Заказы!$V$3:$V$29)-ROW(V$3)+1),14)),"")</f>
        <v/>
      </c>
      <c r="C411" s="26" t="str">
        <f aca="false">IF(B411="","",INDEX(Заказы!$V$3:$V$29,MATCH(B411,Заказы!$A$3:$A$29,0)))</f>
        <v/>
      </c>
      <c r="D411" s="26" t="str">
        <f aca="false">IF(B411="","",VLOOKUP(B411,Каталог!$A:$C,2,0))</f>
        <v/>
      </c>
      <c r="E411" s="22" t="str">
        <f aca="false">IF(B411="","",VLOOKUP(B411,Каталог!$A:$C,3,0))</f>
        <v/>
      </c>
      <c r="F411" s="22" t="str">
        <f aca="false">IF(B411="","",C411*E411)</f>
        <v/>
      </c>
      <c r="H411" s="26" t="str">
        <f aca="false">IF(I411="","",14)</f>
        <v/>
      </c>
      <c r="I411" s="21" t="str">
        <f aca="false" t="array" ref="I411:I411">IFERROR(INDEX(Заказы!$A$3:$A$29,SMALL(IF(Заказы!$W$3:$W$29&gt;0,ROW(Заказы!$W$3:$W$29)-ROW(W$3)+1),14)),"")</f>
        <v/>
      </c>
      <c r="J411" s="26" t="str">
        <f aca="false">IF(I411="","",INDEX(Заказы!$W$3:$W$29,MATCH(I411,Заказы!$A$3:$A$29,0)))</f>
        <v/>
      </c>
      <c r="K411" s="26" t="str">
        <f aca="false">IF(I411="","",VLOOKUP(I411,Каталог!$A:$C,2,0))</f>
        <v/>
      </c>
      <c r="L411" s="22" t="str">
        <f aca="false">IF(I411="","",VLOOKUP(I411,Каталог!$A:$C,3,0))</f>
        <v/>
      </c>
      <c r="M411" s="22" t="str">
        <f aca="false">IF(I411="","",J411*L411)</f>
        <v/>
      </c>
    </row>
    <row r="412" customFormat="false" ht="15" hidden="false" customHeight="false" outlineLevel="0" collapsed="false">
      <c r="A412" s="26" t="str">
        <f aca="false">IF(B412="","",15)</f>
        <v/>
      </c>
      <c r="B412" s="21" t="str">
        <f aca="false" t="array" ref="B412:B412">IFERROR(INDEX(Заказы!$A$3:$A$29,SMALL(IF(Заказы!$V$3:$V$29&gt;0,ROW(Заказы!$V$3:$V$29)-ROW(V$3)+1),15)),"")</f>
        <v/>
      </c>
      <c r="C412" s="26" t="str">
        <f aca="false">IF(B412="","",INDEX(Заказы!$V$3:$V$29,MATCH(B412,Заказы!$A$3:$A$29,0)))</f>
        <v/>
      </c>
      <c r="D412" s="26" t="str">
        <f aca="false">IF(B412="","",VLOOKUP(B412,Каталог!$A:$C,2,0))</f>
        <v/>
      </c>
      <c r="E412" s="22" t="str">
        <f aca="false">IF(B412="","",VLOOKUP(B412,Каталог!$A:$C,3,0))</f>
        <v/>
      </c>
      <c r="F412" s="22" t="str">
        <f aca="false">IF(B412="","",C412*E412)</f>
        <v/>
      </c>
      <c r="H412" s="26" t="str">
        <f aca="false">IF(I412="","",15)</f>
        <v/>
      </c>
      <c r="I412" s="21" t="str">
        <f aca="false" t="array" ref="I412:I412">IFERROR(INDEX(Заказы!$A$3:$A$29,SMALL(IF(Заказы!$W$3:$W$29&gt;0,ROW(Заказы!$W$3:$W$29)-ROW(W$3)+1),15)),"")</f>
        <v/>
      </c>
      <c r="J412" s="26" t="str">
        <f aca="false">IF(I412="","",INDEX(Заказы!$W$3:$W$29,MATCH(I412,Заказы!$A$3:$A$29,0)))</f>
        <v/>
      </c>
      <c r="K412" s="26" t="str">
        <f aca="false">IF(I412="","",VLOOKUP(I412,Каталог!$A:$C,2,0))</f>
        <v/>
      </c>
      <c r="L412" s="22" t="str">
        <f aca="false">IF(I412="","",VLOOKUP(I412,Каталог!$A:$C,3,0))</f>
        <v/>
      </c>
      <c r="M412" s="22" t="str">
        <f aca="false">IF(I412="","",J412*L412)</f>
        <v/>
      </c>
    </row>
    <row r="413" customFormat="false" ht="15" hidden="false" customHeight="false" outlineLevel="0" collapsed="false">
      <c r="A413" s="26" t="str">
        <f aca="false">IF(B413="","",16)</f>
        <v/>
      </c>
      <c r="B413" s="21" t="str">
        <f aca="false" t="array" ref="B413:B413">IFERROR(INDEX(Заказы!$A$3:$A$29,SMALL(IF(Заказы!$V$3:$V$29&gt;0,ROW(Заказы!$V$3:$V$29)-ROW(V$3)+1),16)),"")</f>
        <v/>
      </c>
      <c r="C413" s="26" t="str">
        <f aca="false">IF(B413="","",INDEX(Заказы!$V$3:$V$29,MATCH(B413,Заказы!$A$3:$A$29,0)))</f>
        <v/>
      </c>
      <c r="D413" s="26" t="str">
        <f aca="false">IF(B413="","",VLOOKUP(B413,Каталог!$A:$C,2,0))</f>
        <v/>
      </c>
      <c r="E413" s="22" t="str">
        <f aca="false">IF(B413="","",VLOOKUP(B413,Каталог!$A:$C,3,0))</f>
        <v/>
      </c>
      <c r="F413" s="22" t="str">
        <f aca="false">IF(B413="","",C413*E413)</f>
        <v/>
      </c>
      <c r="H413" s="26" t="str">
        <f aca="false">IF(I413="","",16)</f>
        <v/>
      </c>
      <c r="I413" s="21" t="str">
        <f aca="false" t="array" ref="I413:I413">IFERROR(INDEX(Заказы!$A$3:$A$29,SMALL(IF(Заказы!$W$3:$W$29&gt;0,ROW(Заказы!$W$3:$W$29)-ROW(W$3)+1),16)),"")</f>
        <v/>
      </c>
      <c r="J413" s="26" t="str">
        <f aca="false">IF(I413="","",INDEX(Заказы!$W$3:$W$29,MATCH(I413,Заказы!$A$3:$A$29,0)))</f>
        <v/>
      </c>
      <c r="K413" s="26" t="str">
        <f aca="false">IF(I413="","",VLOOKUP(I413,Каталог!$A:$C,2,0))</f>
        <v/>
      </c>
      <c r="L413" s="22" t="str">
        <f aca="false">IF(I413="","",VLOOKUP(I413,Каталог!$A:$C,3,0))</f>
        <v/>
      </c>
      <c r="M413" s="22" t="str">
        <f aca="false">IF(I413="","",J413*L413)</f>
        <v/>
      </c>
    </row>
    <row r="414" customFormat="false" ht="15" hidden="false" customHeight="false" outlineLevel="0" collapsed="false">
      <c r="A414" s="26" t="str">
        <f aca="false">IF(B414="","",17)</f>
        <v/>
      </c>
      <c r="B414" s="21" t="str">
        <f aca="false" t="array" ref="B414:B414">IFERROR(INDEX(Заказы!$A$3:$A$29,SMALL(IF(Заказы!$V$3:$V$29&gt;0,ROW(Заказы!$V$3:$V$29)-ROW(V$3)+1),17)),"")</f>
        <v/>
      </c>
      <c r="C414" s="26" t="str">
        <f aca="false">IF(B414="","",INDEX(Заказы!$V$3:$V$29,MATCH(B414,Заказы!$A$3:$A$29,0)))</f>
        <v/>
      </c>
      <c r="D414" s="26" t="str">
        <f aca="false">IF(B414="","",VLOOKUP(B414,Каталог!$A:$C,2,0))</f>
        <v/>
      </c>
      <c r="E414" s="22" t="str">
        <f aca="false">IF(B414="","",VLOOKUP(B414,Каталог!$A:$C,3,0))</f>
        <v/>
      </c>
      <c r="F414" s="22" t="str">
        <f aca="false">IF(B414="","",C414*E414)</f>
        <v/>
      </c>
      <c r="H414" s="26" t="str">
        <f aca="false">IF(I414="","",17)</f>
        <v/>
      </c>
      <c r="I414" s="21" t="str">
        <f aca="false" t="array" ref="I414:I414">IFERROR(INDEX(Заказы!$A$3:$A$29,SMALL(IF(Заказы!$W$3:$W$29&gt;0,ROW(Заказы!$W$3:$W$29)-ROW(W$3)+1),17)),"")</f>
        <v/>
      </c>
      <c r="J414" s="26" t="str">
        <f aca="false">IF(I414="","",INDEX(Заказы!$W$3:$W$29,MATCH(I414,Заказы!$A$3:$A$29,0)))</f>
        <v/>
      </c>
      <c r="K414" s="26" t="str">
        <f aca="false">IF(I414="","",VLOOKUP(I414,Каталог!$A:$C,2,0))</f>
        <v/>
      </c>
      <c r="L414" s="22" t="str">
        <f aca="false">IF(I414="","",VLOOKUP(I414,Каталог!$A:$C,3,0))</f>
        <v/>
      </c>
      <c r="M414" s="22" t="str">
        <f aca="false">IF(I414="","",J414*L414)</f>
        <v/>
      </c>
    </row>
    <row r="415" customFormat="false" ht="15" hidden="false" customHeight="false" outlineLevel="0" collapsed="false">
      <c r="A415" s="26" t="str">
        <f aca="false">IF(B415="","",18)</f>
        <v/>
      </c>
      <c r="B415" s="21" t="str">
        <f aca="false" t="array" ref="B415:B415">IFERROR(INDEX(Заказы!$A$3:$A$29,SMALL(IF(Заказы!$V$3:$V$29&gt;0,ROW(Заказы!$V$3:$V$29)-ROW(V$3)+1),18)),"")</f>
        <v/>
      </c>
      <c r="C415" s="26" t="str">
        <f aca="false">IF(B415="","",INDEX(Заказы!$V$3:$V$29,MATCH(B415,Заказы!$A$3:$A$29,0)))</f>
        <v/>
      </c>
      <c r="D415" s="26" t="str">
        <f aca="false">IF(B415="","",VLOOKUP(B415,Каталог!$A:$C,2,0))</f>
        <v/>
      </c>
      <c r="E415" s="22" t="str">
        <f aca="false">IF(B415="","",VLOOKUP(B415,Каталог!$A:$C,3,0))</f>
        <v/>
      </c>
      <c r="F415" s="22" t="str">
        <f aca="false">IF(B415="","",C415*E415)</f>
        <v/>
      </c>
      <c r="H415" s="26" t="str">
        <f aca="false">IF(I415="","",18)</f>
        <v/>
      </c>
      <c r="I415" s="21" t="str">
        <f aca="false" t="array" ref="I415:I415">IFERROR(INDEX(Заказы!$A$3:$A$29,SMALL(IF(Заказы!$W$3:$W$29&gt;0,ROW(Заказы!$W$3:$W$29)-ROW(W$3)+1),18)),"")</f>
        <v/>
      </c>
      <c r="J415" s="26" t="str">
        <f aca="false">IF(I415="","",INDEX(Заказы!$W$3:$W$29,MATCH(I415,Заказы!$A$3:$A$29,0)))</f>
        <v/>
      </c>
      <c r="K415" s="26" t="str">
        <f aca="false">IF(I415="","",VLOOKUP(I415,Каталог!$A:$C,2,0))</f>
        <v/>
      </c>
      <c r="L415" s="22" t="str">
        <f aca="false">IF(I415="","",VLOOKUP(I415,Каталог!$A:$C,3,0))</f>
        <v/>
      </c>
      <c r="M415" s="22" t="str">
        <f aca="false">IF(I415="","",J415*L415)</f>
        <v/>
      </c>
    </row>
    <row r="416" customFormat="false" ht="15" hidden="false" customHeight="false" outlineLevel="0" collapsed="false">
      <c r="A416" s="26" t="str">
        <f aca="false">IF(B416="","",19)</f>
        <v/>
      </c>
      <c r="B416" s="21" t="str">
        <f aca="false" t="array" ref="B416:B416">IFERROR(INDEX(Заказы!$A$3:$A$29,SMALL(IF(Заказы!$V$3:$V$29&gt;0,ROW(Заказы!$V$3:$V$29)-ROW(V$3)+1),19)),"")</f>
        <v/>
      </c>
      <c r="C416" s="26" t="str">
        <f aca="false">IF(B416="","",INDEX(Заказы!$V$3:$V$29,MATCH(B416,Заказы!$A$3:$A$29,0)))</f>
        <v/>
      </c>
      <c r="D416" s="26" t="str">
        <f aca="false">IF(B416="","",VLOOKUP(B416,Каталог!$A:$C,2,0))</f>
        <v/>
      </c>
      <c r="E416" s="22" t="str">
        <f aca="false">IF(B416="","",VLOOKUP(B416,Каталог!$A:$C,3,0))</f>
        <v/>
      </c>
      <c r="F416" s="22" t="str">
        <f aca="false">IF(B416="","",C416*E416)</f>
        <v/>
      </c>
      <c r="H416" s="26" t="str">
        <f aca="false">IF(I416="","",19)</f>
        <v/>
      </c>
      <c r="I416" s="21" t="str">
        <f aca="false" t="array" ref="I416:I416">IFERROR(INDEX(Заказы!$A$3:$A$29,SMALL(IF(Заказы!$W$3:$W$29&gt;0,ROW(Заказы!$W$3:$W$29)-ROW(W$3)+1),19)),"")</f>
        <v/>
      </c>
      <c r="J416" s="26" t="str">
        <f aca="false">IF(I416="","",INDEX(Заказы!$W$3:$W$29,MATCH(I416,Заказы!$A$3:$A$29,0)))</f>
        <v/>
      </c>
      <c r="K416" s="26" t="str">
        <f aca="false">IF(I416="","",VLOOKUP(I416,Каталог!$A:$C,2,0))</f>
        <v/>
      </c>
      <c r="L416" s="22" t="str">
        <f aca="false">IF(I416="","",VLOOKUP(I416,Каталог!$A:$C,3,0))</f>
        <v/>
      </c>
      <c r="M416" s="22" t="str">
        <f aca="false">IF(I416="","",J416*L416)</f>
        <v/>
      </c>
    </row>
    <row r="417" customFormat="false" ht="15" hidden="false" customHeight="false" outlineLevel="0" collapsed="false">
      <c r="A417" s="26" t="str">
        <f aca="false">IF(B417="","",20)</f>
        <v/>
      </c>
      <c r="B417" s="21" t="str">
        <f aca="false" t="array" ref="B417:B417">IFERROR(INDEX(Заказы!$A$3:$A$29,SMALL(IF(Заказы!$V$3:$V$29&gt;0,ROW(Заказы!$V$3:$V$29)-ROW(V$3)+1),20)),"")</f>
        <v/>
      </c>
      <c r="C417" s="26" t="str">
        <f aca="false">IF(B417="","",INDEX(Заказы!$V$3:$V$29,MATCH(B417,Заказы!$A$3:$A$29,0)))</f>
        <v/>
      </c>
      <c r="D417" s="26" t="str">
        <f aca="false">IF(B417="","",VLOOKUP(B417,Каталог!$A:$C,2,0))</f>
        <v/>
      </c>
      <c r="E417" s="22" t="str">
        <f aca="false">IF(B417="","",VLOOKUP(B417,Каталог!$A:$C,3,0))</f>
        <v/>
      </c>
      <c r="F417" s="22" t="str">
        <f aca="false">IF(B417="","",C417*E417)</f>
        <v/>
      </c>
      <c r="H417" s="26" t="str">
        <f aca="false">IF(I417="","",20)</f>
        <v/>
      </c>
      <c r="I417" s="21" t="str">
        <f aca="false" t="array" ref="I417:I417">IFERROR(INDEX(Заказы!$A$3:$A$29,SMALL(IF(Заказы!$W$3:$W$29&gt;0,ROW(Заказы!$W$3:$W$29)-ROW(W$3)+1),20)),"")</f>
        <v/>
      </c>
      <c r="J417" s="26" t="str">
        <f aca="false">IF(I417="","",INDEX(Заказы!$W$3:$W$29,MATCH(I417,Заказы!$A$3:$A$29,0)))</f>
        <v/>
      </c>
      <c r="K417" s="26" t="str">
        <f aca="false">IF(I417="","",VLOOKUP(I417,Каталог!$A:$C,2,0))</f>
        <v/>
      </c>
      <c r="L417" s="22" t="str">
        <f aca="false">IF(I417="","",VLOOKUP(I417,Каталог!$A:$C,3,0))</f>
        <v/>
      </c>
      <c r="M417" s="22" t="str">
        <f aca="false">IF(I417="","",J417*L417)</f>
        <v/>
      </c>
    </row>
    <row r="418" customFormat="false" ht="15" hidden="false" customHeight="false" outlineLevel="0" collapsed="false">
      <c r="A418" s="26" t="str">
        <f aca="false">IF(B418="","",21)</f>
        <v/>
      </c>
      <c r="B418" s="21" t="str">
        <f aca="false" t="array" ref="B418:B418">IFERROR(INDEX(Заказы!$A$3:$A$29,SMALL(IF(Заказы!$V$3:$V$29&gt;0,ROW(Заказы!$V$3:$V$29)-ROW(V$3)+1),21)),"")</f>
        <v/>
      </c>
      <c r="C418" s="26" t="str">
        <f aca="false">IF(B418="","",INDEX(Заказы!$V$3:$V$29,MATCH(B418,Заказы!$A$3:$A$29,0)))</f>
        <v/>
      </c>
      <c r="D418" s="26" t="str">
        <f aca="false">IF(B418="","",VLOOKUP(B418,Каталог!$A:$C,2,0))</f>
        <v/>
      </c>
      <c r="E418" s="22" t="str">
        <f aca="false">IF(B418="","",VLOOKUP(B418,Каталог!$A:$C,3,0))</f>
        <v/>
      </c>
      <c r="F418" s="22" t="str">
        <f aca="false">IF(B418="","",C418*E418)</f>
        <v/>
      </c>
      <c r="H418" s="26" t="str">
        <f aca="false">IF(I418="","",21)</f>
        <v/>
      </c>
      <c r="I418" s="21" t="str">
        <f aca="false" t="array" ref="I418:I418">IFERROR(INDEX(Заказы!$A$3:$A$29,SMALL(IF(Заказы!$W$3:$W$29&gt;0,ROW(Заказы!$W$3:$W$29)-ROW(W$3)+1),21)),"")</f>
        <v/>
      </c>
      <c r="J418" s="26" t="str">
        <f aca="false">IF(I418="","",INDEX(Заказы!$W$3:$W$29,MATCH(I418,Заказы!$A$3:$A$29,0)))</f>
        <v/>
      </c>
      <c r="K418" s="26" t="str">
        <f aca="false">IF(I418="","",VLOOKUP(I418,Каталог!$A:$C,2,0))</f>
        <v/>
      </c>
      <c r="L418" s="22" t="str">
        <f aca="false">IF(I418="","",VLOOKUP(I418,Каталог!$A:$C,3,0))</f>
        <v/>
      </c>
      <c r="M418" s="22" t="str">
        <f aca="false">IF(I418="","",J418*L418)</f>
        <v/>
      </c>
    </row>
    <row r="419" customFormat="false" ht="15" hidden="false" customHeight="false" outlineLevel="0" collapsed="false">
      <c r="A419" s="26" t="str">
        <f aca="false">IF(B419="","",22)</f>
        <v/>
      </c>
      <c r="B419" s="21" t="str">
        <f aca="false" t="array" ref="B419:B419">IFERROR(INDEX(Заказы!$A$3:$A$29,SMALL(IF(Заказы!$V$3:$V$29&gt;0,ROW(Заказы!$V$3:$V$29)-ROW(V$3)+1),22)),"")</f>
        <v/>
      </c>
      <c r="C419" s="26" t="str">
        <f aca="false">IF(B419="","",INDEX(Заказы!$V$3:$V$29,MATCH(B419,Заказы!$A$3:$A$29,0)))</f>
        <v/>
      </c>
      <c r="D419" s="26" t="str">
        <f aca="false">IF(B419="","",VLOOKUP(B419,Каталог!$A:$C,2,0))</f>
        <v/>
      </c>
      <c r="E419" s="22" t="str">
        <f aca="false">IF(B419="","",VLOOKUP(B419,Каталог!$A:$C,3,0))</f>
        <v/>
      </c>
      <c r="F419" s="22" t="str">
        <f aca="false">IF(B419="","",C419*E419)</f>
        <v/>
      </c>
      <c r="H419" s="26" t="str">
        <f aca="false">IF(I419="","",22)</f>
        <v/>
      </c>
      <c r="I419" s="21" t="str">
        <f aca="false" t="array" ref="I419:I419">IFERROR(INDEX(Заказы!$A$3:$A$29,SMALL(IF(Заказы!$W$3:$W$29&gt;0,ROW(Заказы!$W$3:$W$29)-ROW(W$3)+1),22)),"")</f>
        <v/>
      </c>
      <c r="J419" s="26" t="str">
        <f aca="false">IF(I419="","",INDEX(Заказы!$W$3:$W$29,MATCH(I419,Заказы!$A$3:$A$29,0)))</f>
        <v/>
      </c>
      <c r="K419" s="26" t="str">
        <f aca="false">IF(I419="","",VLOOKUP(I419,Каталог!$A:$C,2,0))</f>
        <v/>
      </c>
      <c r="L419" s="22" t="str">
        <f aca="false">IF(I419="","",VLOOKUP(I419,Каталог!$A:$C,3,0))</f>
        <v/>
      </c>
      <c r="M419" s="22" t="str">
        <f aca="false">IF(I419="","",J419*L419)</f>
        <v/>
      </c>
    </row>
    <row r="420" customFormat="false" ht="15" hidden="false" customHeight="false" outlineLevel="0" collapsed="false">
      <c r="A420" s="26" t="str">
        <f aca="false">IF(B420="","",23)</f>
        <v/>
      </c>
      <c r="B420" s="21" t="str">
        <f aca="false" t="array" ref="B420:B420">IFERROR(INDEX(Заказы!$A$3:$A$29,SMALL(IF(Заказы!$V$3:$V$29&gt;0,ROW(Заказы!$V$3:$V$29)-ROW(V$3)+1),23)),"")</f>
        <v/>
      </c>
      <c r="C420" s="26" t="str">
        <f aca="false">IF(B420="","",INDEX(Заказы!$V$3:$V$29,MATCH(B420,Заказы!$A$3:$A$29,0)))</f>
        <v/>
      </c>
      <c r="D420" s="26" t="str">
        <f aca="false">IF(B420="","",VLOOKUP(B420,Каталог!$A:$C,2,0))</f>
        <v/>
      </c>
      <c r="E420" s="22" t="str">
        <f aca="false">IF(B420="","",VLOOKUP(B420,Каталог!$A:$C,3,0))</f>
        <v/>
      </c>
      <c r="F420" s="22" t="str">
        <f aca="false">IF(B420="","",C420*E420)</f>
        <v/>
      </c>
      <c r="H420" s="26" t="str">
        <f aca="false">IF(I420="","",23)</f>
        <v/>
      </c>
      <c r="I420" s="21" t="str">
        <f aca="false" t="array" ref="I420:I420">IFERROR(INDEX(Заказы!$A$3:$A$29,SMALL(IF(Заказы!$W$3:$W$29&gt;0,ROW(Заказы!$W$3:$W$29)-ROW(W$3)+1),23)),"")</f>
        <v/>
      </c>
      <c r="J420" s="26" t="str">
        <f aca="false">IF(I420="","",INDEX(Заказы!$W$3:$W$29,MATCH(I420,Заказы!$A$3:$A$29,0)))</f>
        <v/>
      </c>
      <c r="K420" s="26" t="str">
        <f aca="false">IF(I420="","",VLOOKUP(I420,Каталог!$A:$C,2,0))</f>
        <v/>
      </c>
      <c r="L420" s="22" t="str">
        <f aca="false">IF(I420="","",VLOOKUP(I420,Каталог!$A:$C,3,0))</f>
        <v/>
      </c>
      <c r="M420" s="22" t="str">
        <f aca="false">IF(I420="","",J420*L420)</f>
        <v/>
      </c>
    </row>
    <row r="421" customFormat="false" ht="15" hidden="false" customHeight="false" outlineLevel="0" collapsed="false">
      <c r="A421" s="26" t="str">
        <f aca="false">IF(B421="","",24)</f>
        <v/>
      </c>
      <c r="B421" s="21" t="str">
        <f aca="false" t="array" ref="B421:B421">IFERROR(INDEX(Заказы!$A$3:$A$29,SMALL(IF(Заказы!$V$3:$V$29&gt;0,ROW(Заказы!$V$3:$V$29)-ROW(V$3)+1),24)),"")</f>
        <v/>
      </c>
      <c r="C421" s="26" t="str">
        <f aca="false">IF(B421="","",INDEX(Заказы!$V$3:$V$29,MATCH(B421,Заказы!$A$3:$A$29,0)))</f>
        <v/>
      </c>
      <c r="D421" s="26" t="str">
        <f aca="false">IF(B421="","",VLOOKUP(B421,Каталог!$A:$C,2,0))</f>
        <v/>
      </c>
      <c r="E421" s="22" t="str">
        <f aca="false">IF(B421="","",VLOOKUP(B421,Каталог!$A:$C,3,0))</f>
        <v/>
      </c>
      <c r="F421" s="22" t="str">
        <f aca="false">IF(B421="","",C421*E421)</f>
        <v/>
      </c>
      <c r="H421" s="26" t="str">
        <f aca="false">IF(I421="","",24)</f>
        <v/>
      </c>
      <c r="I421" s="21" t="str">
        <f aca="false" t="array" ref="I421:I421">IFERROR(INDEX(Заказы!$A$3:$A$29,SMALL(IF(Заказы!$W$3:$W$29&gt;0,ROW(Заказы!$W$3:$W$29)-ROW(W$3)+1),24)),"")</f>
        <v/>
      </c>
      <c r="J421" s="26" t="str">
        <f aca="false">IF(I421="","",INDEX(Заказы!$W$3:$W$29,MATCH(I421,Заказы!$A$3:$A$29,0)))</f>
        <v/>
      </c>
      <c r="K421" s="26" t="str">
        <f aca="false">IF(I421="","",VLOOKUP(I421,Каталог!$A:$C,2,0))</f>
        <v/>
      </c>
      <c r="L421" s="22" t="str">
        <f aca="false">IF(I421="","",VLOOKUP(I421,Каталог!$A:$C,3,0))</f>
        <v/>
      </c>
      <c r="M421" s="22" t="str">
        <f aca="false">IF(I421="","",J421*L421)</f>
        <v/>
      </c>
    </row>
    <row r="422" customFormat="false" ht="15" hidden="false" customHeight="false" outlineLevel="0" collapsed="false">
      <c r="A422" s="26" t="str">
        <f aca="false">IF(B422="","",25)</f>
        <v/>
      </c>
      <c r="B422" s="21" t="str">
        <f aca="false" t="array" ref="B422:B422">IFERROR(INDEX(Заказы!$A$3:$A$29,SMALL(IF(Заказы!$V$3:$V$29&gt;0,ROW(Заказы!$V$3:$V$29)-ROW(V$3)+1),25)),"")</f>
        <v/>
      </c>
      <c r="C422" s="26" t="str">
        <f aca="false">IF(B422="","",INDEX(Заказы!$V$3:$V$29,MATCH(B422,Заказы!$A$3:$A$29,0)))</f>
        <v/>
      </c>
      <c r="D422" s="26" t="str">
        <f aca="false">IF(B422="","",VLOOKUP(B422,Каталог!$A:$C,2,0))</f>
        <v/>
      </c>
      <c r="E422" s="22" t="str">
        <f aca="false">IF(B422="","",VLOOKUP(B422,Каталог!$A:$C,3,0))</f>
        <v/>
      </c>
      <c r="F422" s="22" t="str">
        <f aca="false">IF(B422="","",C422*E422)</f>
        <v/>
      </c>
      <c r="H422" s="26" t="str">
        <f aca="false">IF(I422="","",25)</f>
        <v/>
      </c>
      <c r="I422" s="21" t="str">
        <f aca="false" t="array" ref="I422:I422">IFERROR(INDEX(Заказы!$A$3:$A$29,SMALL(IF(Заказы!$W$3:$W$29&gt;0,ROW(Заказы!$W$3:$W$29)-ROW(W$3)+1),25)),"")</f>
        <v/>
      </c>
      <c r="J422" s="26" t="str">
        <f aca="false">IF(I422="","",INDEX(Заказы!$W$3:$W$29,MATCH(I422,Заказы!$A$3:$A$29,0)))</f>
        <v/>
      </c>
      <c r="K422" s="26" t="str">
        <f aca="false">IF(I422="","",VLOOKUP(I422,Каталог!$A:$C,2,0))</f>
        <v/>
      </c>
      <c r="L422" s="22" t="str">
        <f aca="false">IF(I422="","",VLOOKUP(I422,Каталог!$A:$C,3,0))</f>
        <v/>
      </c>
      <c r="M422" s="22" t="str">
        <f aca="false">IF(I422="","",J422*L422)</f>
        <v/>
      </c>
    </row>
    <row r="423" customFormat="false" ht="15" hidden="false" customHeight="false" outlineLevel="0" collapsed="false">
      <c r="A423" s="26" t="str">
        <f aca="false">IF(B423="","",26)</f>
        <v/>
      </c>
      <c r="B423" s="21" t="str">
        <f aca="false" t="array" ref="B423:B423">IFERROR(INDEX(Заказы!$A$3:$A$29,SMALL(IF(Заказы!$V$3:$V$29&gt;0,ROW(Заказы!$V$3:$V$29)-ROW(V$3)+1),26)),"")</f>
        <v/>
      </c>
      <c r="C423" s="26" t="str">
        <f aca="false">IF(B423="","",INDEX(Заказы!$V$3:$V$29,MATCH(B423,Заказы!$A$3:$A$29,0)))</f>
        <v/>
      </c>
      <c r="D423" s="26" t="str">
        <f aca="false">IF(B423="","",VLOOKUP(B423,Каталог!$A:$C,2,0))</f>
        <v/>
      </c>
      <c r="E423" s="22" t="str">
        <f aca="false">IF(B423="","",VLOOKUP(B423,Каталог!$A:$C,3,0))</f>
        <v/>
      </c>
      <c r="F423" s="22" t="str">
        <f aca="false">IF(B423="","",C423*E423)</f>
        <v/>
      </c>
      <c r="H423" s="26" t="str">
        <f aca="false">IF(I423="","",26)</f>
        <v/>
      </c>
      <c r="I423" s="21" t="str">
        <f aca="false" t="array" ref="I423:I423">IFERROR(INDEX(Заказы!$A$3:$A$29,SMALL(IF(Заказы!$W$3:$W$29&gt;0,ROW(Заказы!$W$3:$W$29)-ROW(W$3)+1),26)),"")</f>
        <v/>
      </c>
      <c r="J423" s="26" t="str">
        <f aca="false">IF(I423="","",INDEX(Заказы!$W$3:$W$29,MATCH(I423,Заказы!$A$3:$A$29,0)))</f>
        <v/>
      </c>
      <c r="K423" s="26" t="str">
        <f aca="false">IF(I423="","",VLOOKUP(I423,Каталог!$A:$C,2,0))</f>
        <v/>
      </c>
      <c r="L423" s="22" t="str">
        <f aca="false">IF(I423="","",VLOOKUP(I423,Каталог!$A:$C,3,0))</f>
        <v/>
      </c>
      <c r="M423" s="22" t="str">
        <f aca="false">IF(I423="","",J423*L423)</f>
        <v/>
      </c>
    </row>
    <row r="424" customFormat="false" ht="15" hidden="false" customHeight="false" outlineLevel="0" collapsed="false">
      <c r="A424" s="26" t="str">
        <f aca="false">IF(B424="","",27)</f>
        <v/>
      </c>
      <c r="B424" s="21" t="str">
        <f aca="false" t="array" ref="B424:B424">IFERROR(INDEX(Заказы!$A$3:$A$29,SMALL(IF(Заказы!$V$3:$V$29&gt;0,ROW(Заказы!$V$3:$V$29)-ROW(V$3)+1),27)),"")</f>
        <v/>
      </c>
      <c r="C424" s="26" t="str">
        <f aca="false">IF(B424="","",INDEX(Заказы!$V$3:$V$29,MATCH(B424,Заказы!$A$3:$A$29,0)))</f>
        <v/>
      </c>
      <c r="D424" s="26" t="str">
        <f aca="false">IF(B424="","",VLOOKUP(B424,Каталог!$A:$C,2,0))</f>
        <v/>
      </c>
      <c r="E424" s="22" t="str">
        <f aca="false">IF(B424="","",VLOOKUP(B424,Каталог!$A:$C,3,0))</f>
        <v/>
      </c>
      <c r="F424" s="22" t="str">
        <f aca="false">IF(B424="","",C424*E424)</f>
        <v/>
      </c>
      <c r="H424" s="26" t="str">
        <f aca="false">IF(I424="","",27)</f>
        <v/>
      </c>
      <c r="I424" s="21" t="str">
        <f aca="false" t="array" ref="I424:I424">IFERROR(INDEX(Заказы!$A$3:$A$29,SMALL(IF(Заказы!$W$3:$W$29&gt;0,ROW(Заказы!$W$3:$W$29)-ROW(W$3)+1),27)),"")</f>
        <v/>
      </c>
      <c r="J424" s="26" t="str">
        <f aca="false">IF(I424="","",INDEX(Заказы!$W$3:$W$29,MATCH(I424,Заказы!$A$3:$A$29,0)))</f>
        <v/>
      </c>
      <c r="K424" s="26" t="str">
        <f aca="false">IF(I424="","",VLOOKUP(I424,Каталог!$A:$C,2,0))</f>
        <v/>
      </c>
      <c r="L424" s="22" t="str">
        <f aca="false">IF(I424="","",VLOOKUP(I424,Каталог!$A:$C,3,0))</f>
        <v/>
      </c>
      <c r="M424" s="22" t="str">
        <f aca="false">IF(I424="","",J424*L424)</f>
        <v/>
      </c>
    </row>
    <row r="425" customFormat="false" ht="15" hidden="false" customHeight="false" outlineLevel="0" collapsed="false">
      <c r="A425" s="23"/>
      <c r="B425" s="23"/>
      <c r="C425" s="23"/>
      <c r="D425" s="23"/>
      <c r="E425" s="23"/>
      <c r="F425" s="23"/>
      <c r="H425" s="23"/>
      <c r="I425" s="23"/>
      <c r="J425" s="23"/>
      <c r="K425" s="23"/>
      <c r="L425" s="23"/>
      <c r="M425" s="23"/>
    </row>
    <row r="426" customFormat="false" ht="15" hidden="false" customHeight="false" outlineLevel="0" collapsed="false">
      <c r="A426" s="24" t="str">
        <f aca="false">IF(COUNTIF(Заказы!$V$3:$V$29,"&gt;0")=0,"","Итого:")</f>
        <v/>
      </c>
      <c r="B426" s="24"/>
      <c r="C426" s="24"/>
      <c r="D426" s="24"/>
      <c r="E426" s="25" t="str">
        <f aca="false">IF(COUNTIF(Заказы!$V$3:$V$29,"&gt;0")=0,"",SUM(F398:F424))</f>
        <v/>
      </c>
      <c r="F426" s="25"/>
      <c r="H426" s="24" t="str">
        <f aca="false">IF(COUNTIF(Заказы!$W$3:$W$29,"&gt;0")=0,"","Итого:")</f>
        <v/>
      </c>
      <c r="I426" s="24"/>
      <c r="J426" s="24"/>
      <c r="K426" s="24"/>
      <c r="L426" s="25" t="str">
        <f aca="false">IF(COUNTIF(Заказы!$W$3:$W$29,"&gt;0")=0,"",SUM(M398:M424))</f>
        <v/>
      </c>
      <c r="M426" s="25"/>
    </row>
    <row r="428" customFormat="false" ht="15" hidden="false" customHeight="false" outlineLevel="0" collapsed="false">
      <c r="A428" s="18" t="str">
        <f aca="false">IF(COUNTIF(Заказы!$V$3:$V$29,"&gt;0")=0,"","Подпись отправителя: __________________")</f>
        <v/>
      </c>
      <c r="B428" s="18"/>
      <c r="C428" s="18"/>
      <c r="D428" s="18"/>
      <c r="E428" s="18"/>
      <c r="F428" s="18"/>
      <c r="H428" s="18" t="str">
        <f aca="false">IF(COUNTIF(Заказы!$W$3:$W$29,"&gt;0")=0,"","Подпись отправителя: __________________")</f>
        <v/>
      </c>
      <c r="I428" s="18"/>
      <c r="J428" s="18"/>
      <c r="K428" s="18"/>
      <c r="L428" s="18"/>
      <c r="M428" s="18"/>
    </row>
    <row r="429" customFormat="false" ht="15" hidden="false" customHeight="false" outlineLevel="0" collapsed="false">
      <c r="A429" s="18" t="str">
        <f aca="false">IF(COUNTIF(Заказы!$V$3:$V$29,"&gt;0")=0,"","Подпись получателя: ___________________")</f>
        <v/>
      </c>
      <c r="B429" s="18"/>
      <c r="C429" s="18"/>
      <c r="D429" s="18"/>
      <c r="E429" s="18"/>
      <c r="F429" s="18"/>
      <c r="H429" s="18" t="str">
        <f aca="false">IF(COUNTIF(Заказы!$W$3:$W$29,"&gt;0")=0,"","Подпись получателя: ___________________")</f>
        <v/>
      </c>
      <c r="I429" s="18"/>
      <c r="J429" s="18"/>
      <c r="K429" s="18"/>
      <c r="L429" s="18"/>
      <c r="M429" s="18"/>
    </row>
    <row r="431" customFormat="false" ht="17.35" hidden="false" customHeight="false" outlineLevel="0" collapsed="false">
      <c r="A431" s="17" t="str">
        <f aca="false">IF(COUNTIF(Заказы!$X$3:$X$29,"&gt;0")=0,"","НАКЛАДНАЯ")</f>
        <v/>
      </c>
      <c r="B431" s="17"/>
      <c r="C431" s="17"/>
      <c r="D431" s="17"/>
      <c r="E431" s="17"/>
      <c r="F431" s="17"/>
      <c r="H431" s="17" t="str">
        <f aca="false">IF(COUNTIF(Заказы!$Y$3:$Y$29,"&gt;0")=0,"","НАКЛАДНАЯ")</f>
        <v/>
      </c>
      <c r="I431" s="17"/>
      <c r="J431" s="17"/>
      <c r="K431" s="17"/>
      <c r="L431" s="17"/>
      <c r="M431" s="17"/>
    </row>
    <row r="432" customFormat="false" ht="15" hidden="false" customHeight="false" outlineLevel="0" collapsed="false">
      <c r="A432" s="18" t="str">
        <f aca="false">IF(COUNTIF(Заказы!$X$3:$X$29,"&gt;0")=0,"","Отправитель: Brown кондитерский цех")</f>
        <v/>
      </c>
      <c r="B432" s="18"/>
      <c r="C432" s="18"/>
      <c r="D432" s="18"/>
      <c r="E432" s="18"/>
      <c r="F432" s="18"/>
      <c r="H432" s="18" t="str">
        <f aca="false">IF(COUNTIF(Заказы!$Y$3:$Y$29,"&gt;0")=0,"","Отправитель: Brown кондитерский цех")</f>
        <v/>
      </c>
      <c r="I432" s="18"/>
      <c r="J432" s="18"/>
      <c r="K432" s="18"/>
      <c r="L432" s="18"/>
      <c r="M432" s="18"/>
    </row>
    <row r="433" customFormat="false" ht="15" hidden="false" customHeight="false" outlineLevel="0" collapsed="false">
      <c r="A433" s="18" t="str">
        <f aca="false">IF(COUNTIF(Заказы!$X$3:$X$29,"&gt;0")=0,"","Получатель: "&amp;Заказы!X$2)</f>
        <v/>
      </c>
      <c r="B433" s="18"/>
      <c r="C433" s="18"/>
      <c r="D433" s="18"/>
      <c r="E433" s="18"/>
      <c r="F433" s="18"/>
      <c r="H433" s="18" t="str">
        <f aca="false">IF(COUNTIF(Заказы!$Y$3:$Y$29,"&gt;0")=0,"","Получатель: "&amp;Заказы!Y$2)</f>
        <v/>
      </c>
      <c r="I433" s="18"/>
      <c r="J433" s="18"/>
      <c r="K433" s="18"/>
      <c r="L433" s="18"/>
      <c r="M433" s="18"/>
    </row>
    <row r="434" customFormat="false" ht="15" hidden="false" customHeight="false" outlineLevel="0" collapsed="false">
      <c r="A434" s="19" t="str">
        <f aca="false">IF(COUNTIF(Заказы!$X$3:$X$29,"&gt;0")=0,"","Накладная от: "&amp;TEXT(Заказы!$B$1,"dd.mm.yyyy"))</f>
        <v/>
      </c>
      <c r="B434" s="19"/>
      <c r="C434" s="19"/>
      <c r="D434" s="19"/>
      <c r="E434" s="19"/>
      <c r="F434" s="19"/>
      <c r="H434" s="19" t="str">
        <f aca="false">IF(COUNTIF(Заказы!$Y$3:$Y$29,"&gt;0")=0,"","Накладная от: "&amp;TEXT(Заказы!$B$1,"dd.mm.yyyy"))</f>
        <v/>
      </c>
      <c r="I434" s="19"/>
      <c r="J434" s="19"/>
      <c r="K434" s="19"/>
      <c r="L434" s="19"/>
      <c r="M434" s="19"/>
    </row>
    <row r="436" customFormat="false" ht="15" hidden="false" customHeight="false" outlineLevel="0" collapsed="false">
      <c r="A436" s="4" t="str">
        <f aca="false">IF(COUNTIF(Заказы!$X$3:$X$29,"&gt;0")=0,"","№")</f>
        <v/>
      </c>
      <c r="B436" s="4" t="str">
        <f aca="false">IF(COUNTIF(Заказы!$X$3:$X$29,"&gt;0")=0,"","Наименование")</f>
        <v/>
      </c>
      <c r="C436" s="4" t="str">
        <f aca="false">IF(COUNTIF(Заказы!$X$3:$X$29,"&gt;0")=0,"","Кол.")</f>
        <v/>
      </c>
      <c r="D436" s="4" t="str">
        <f aca="false">IF(COUNTIF(Заказы!$X$3:$X$29,"&gt;0")=0,"","Ед.")</f>
        <v/>
      </c>
      <c r="E436" s="4" t="str">
        <f aca="false">IF(COUNTIF(Заказы!$X$3:$X$29,"&gt;0")=0,"","Цена")</f>
        <v/>
      </c>
      <c r="F436" s="4" t="str">
        <f aca="false">IF(COUNTIF(Заказы!$X$3:$X$29,"&gt;0")=0,"","Сумма")</f>
        <v/>
      </c>
      <c r="H436" s="4" t="str">
        <f aca="false">IF(COUNTIF(Заказы!$Y$3:$Y$29,"&gt;0")=0,"","№")</f>
        <v/>
      </c>
      <c r="I436" s="4" t="str">
        <f aca="false">IF(COUNTIF(Заказы!$Y$3:$Y$29,"&gt;0")=0,"","Наименование")</f>
        <v/>
      </c>
      <c r="J436" s="4" t="str">
        <f aca="false">IF(COUNTIF(Заказы!$Y$3:$Y$29,"&gt;0")=0,"","Кол.")</f>
        <v/>
      </c>
      <c r="K436" s="4" t="str">
        <f aca="false">IF(COUNTIF(Заказы!$Y$3:$Y$29,"&gt;0")=0,"","Ед.")</f>
        <v/>
      </c>
      <c r="L436" s="4" t="str">
        <f aca="false">IF(COUNTIF(Заказы!$Y$3:$Y$29,"&gt;0")=0,"","Цена")</f>
        <v/>
      </c>
      <c r="M436" s="4" t="str">
        <f aca="false">IF(COUNTIF(Заказы!$Y$3:$Y$29,"&gt;0")=0,"","Сумма")</f>
        <v/>
      </c>
    </row>
    <row r="437" customFormat="false" ht="15" hidden="false" customHeight="false" outlineLevel="0" collapsed="false">
      <c r="A437" s="26" t="str">
        <f aca="false">IF(B437="","",1)</f>
        <v/>
      </c>
      <c r="B437" s="21" t="str">
        <f aca="false" t="array" ref="B437:B437">IFERROR(INDEX(Заказы!$A$3:$A$29,SMALL(IF(Заказы!$X$3:$X$29&gt;0,ROW(Заказы!$X$3:$X$29)-ROW(X$3)+1),1)),"")</f>
        <v/>
      </c>
      <c r="C437" s="26" t="str">
        <f aca="false">IF(B437="","",INDEX(Заказы!$X$3:$X$29,MATCH(B437,Заказы!$A$3:$A$29,0)))</f>
        <v/>
      </c>
      <c r="D437" s="26" t="str">
        <f aca="false">IF(B437="","",VLOOKUP(B437,Каталог!$A:$C,2,0))</f>
        <v/>
      </c>
      <c r="E437" s="22" t="str">
        <f aca="false">IF(B437="","",VLOOKUP(B437,Каталог!$A:$C,3,0))</f>
        <v/>
      </c>
      <c r="F437" s="22" t="str">
        <f aca="false">IF(B437="","",C437*E437)</f>
        <v/>
      </c>
      <c r="H437" s="26" t="str">
        <f aca="false">IF(I437="","",1)</f>
        <v/>
      </c>
      <c r="I437" s="21" t="str">
        <f aca="false" t="array" ref="I437:I437">IFERROR(INDEX(Заказы!$A$3:$A$29,SMALL(IF(Заказы!$Y$3:$Y$29&gt;0,ROW(Заказы!$Y$3:$Y$29)-ROW(Y$3)+1),1)),"")</f>
        <v/>
      </c>
      <c r="J437" s="26" t="str">
        <f aca="false">IF(I437="","",INDEX(Заказы!$Y$3:$Y$29,MATCH(I437,Заказы!$A$3:$A$29,0)))</f>
        <v/>
      </c>
      <c r="K437" s="26" t="str">
        <f aca="false">IF(I437="","",VLOOKUP(I437,Каталог!$A:$C,2,0))</f>
        <v/>
      </c>
      <c r="L437" s="22" t="str">
        <f aca="false">IF(I437="","",VLOOKUP(I437,Каталог!$A:$C,3,0))</f>
        <v/>
      </c>
      <c r="M437" s="22" t="str">
        <f aca="false">IF(I437="","",J437*L437)</f>
        <v/>
      </c>
    </row>
    <row r="438" customFormat="false" ht="15" hidden="false" customHeight="false" outlineLevel="0" collapsed="false">
      <c r="A438" s="26" t="str">
        <f aca="false">IF(B438="","",2)</f>
        <v/>
      </c>
      <c r="B438" s="21" t="str">
        <f aca="false" t="array" ref="B438:B438">IFERROR(INDEX(Заказы!$A$3:$A$29,SMALL(IF(Заказы!$X$3:$X$29&gt;0,ROW(Заказы!$X$3:$X$29)-ROW(X$3)+1),2)),"")</f>
        <v/>
      </c>
      <c r="C438" s="26" t="str">
        <f aca="false">IF(B438="","",INDEX(Заказы!$X$3:$X$29,MATCH(B438,Заказы!$A$3:$A$29,0)))</f>
        <v/>
      </c>
      <c r="D438" s="26" t="str">
        <f aca="false">IF(B438="","",VLOOKUP(B438,Каталог!$A:$C,2,0))</f>
        <v/>
      </c>
      <c r="E438" s="22" t="str">
        <f aca="false">IF(B438="","",VLOOKUP(B438,Каталог!$A:$C,3,0))</f>
        <v/>
      </c>
      <c r="F438" s="22" t="str">
        <f aca="false">IF(B438="","",C438*E438)</f>
        <v/>
      </c>
      <c r="H438" s="26" t="str">
        <f aca="false">IF(I438="","",2)</f>
        <v/>
      </c>
      <c r="I438" s="21" t="str">
        <f aca="false" t="array" ref="I438:I438">IFERROR(INDEX(Заказы!$A$3:$A$29,SMALL(IF(Заказы!$Y$3:$Y$29&gt;0,ROW(Заказы!$Y$3:$Y$29)-ROW(Y$3)+1),2)),"")</f>
        <v/>
      </c>
      <c r="J438" s="26" t="str">
        <f aca="false">IF(I438="","",INDEX(Заказы!$Y$3:$Y$29,MATCH(I438,Заказы!$A$3:$A$29,0)))</f>
        <v/>
      </c>
      <c r="K438" s="26" t="str">
        <f aca="false">IF(I438="","",VLOOKUP(I438,Каталог!$A:$C,2,0))</f>
        <v/>
      </c>
      <c r="L438" s="22" t="str">
        <f aca="false">IF(I438="","",VLOOKUP(I438,Каталог!$A:$C,3,0))</f>
        <v/>
      </c>
      <c r="M438" s="22" t="str">
        <f aca="false">IF(I438="","",J438*L438)</f>
        <v/>
      </c>
    </row>
    <row r="439" customFormat="false" ht="15" hidden="false" customHeight="false" outlineLevel="0" collapsed="false">
      <c r="A439" s="26" t="str">
        <f aca="false">IF(B439="","",3)</f>
        <v/>
      </c>
      <c r="B439" s="21" t="str">
        <f aca="false" t="array" ref="B439:B439">IFERROR(INDEX(Заказы!$A$3:$A$29,SMALL(IF(Заказы!$X$3:$X$29&gt;0,ROW(Заказы!$X$3:$X$29)-ROW(X$3)+1),3)),"")</f>
        <v/>
      </c>
      <c r="C439" s="26" t="str">
        <f aca="false">IF(B439="","",INDEX(Заказы!$X$3:$X$29,MATCH(B439,Заказы!$A$3:$A$29,0)))</f>
        <v/>
      </c>
      <c r="D439" s="26" t="str">
        <f aca="false">IF(B439="","",VLOOKUP(B439,Каталог!$A:$C,2,0))</f>
        <v/>
      </c>
      <c r="E439" s="22" t="str">
        <f aca="false">IF(B439="","",VLOOKUP(B439,Каталог!$A:$C,3,0))</f>
        <v/>
      </c>
      <c r="F439" s="22" t="str">
        <f aca="false">IF(B439="","",C439*E439)</f>
        <v/>
      </c>
      <c r="H439" s="26" t="str">
        <f aca="false">IF(I439="","",3)</f>
        <v/>
      </c>
      <c r="I439" s="21" t="str">
        <f aca="false" t="array" ref="I439:I439">IFERROR(INDEX(Заказы!$A$3:$A$29,SMALL(IF(Заказы!$Y$3:$Y$29&gt;0,ROW(Заказы!$Y$3:$Y$29)-ROW(Y$3)+1),3)),"")</f>
        <v/>
      </c>
      <c r="J439" s="26" t="str">
        <f aca="false">IF(I439="","",INDEX(Заказы!$Y$3:$Y$29,MATCH(I439,Заказы!$A$3:$A$29,0)))</f>
        <v/>
      </c>
      <c r="K439" s="26" t="str">
        <f aca="false">IF(I439="","",VLOOKUP(I439,Каталог!$A:$C,2,0))</f>
        <v/>
      </c>
      <c r="L439" s="22" t="str">
        <f aca="false">IF(I439="","",VLOOKUP(I439,Каталог!$A:$C,3,0))</f>
        <v/>
      </c>
      <c r="M439" s="22" t="str">
        <f aca="false">IF(I439="","",J439*L439)</f>
        <v/>
      </c>
    </row>
    <row r="440" customFormat="false" ht="15" hidden="false" customHeight="false" outlineLevel="0" collapsed="false">
      <c r="A440" s="26" t="str">
        <f aca="false">IF(B440="","",4)</f>
        <v/>
      </c>
      <c r="B440" s="21" t="str">
        <f aca="false" t="array" ref="B440:B440">IFERROR(INDEX(Заказы!$A$3:$A$29,SMALL(IF(Заказы!$X$3:$X$29&gt;0,ROW(Заказы!$X$3:$X$29)-ROW(X$3)+1),4)),"")</f>
        <v/>
      </c>
      <c r="C440" s="26" t="str">
        <f aca="false">IF(B440="","",INDEX(Заказы!$X$3:$X$29,MATCH(B440,Заказы!$A$3:$A$29,0)))</f>
        <v/>
      </c>
      <c r="D440" s="26" t="str">
        <f aca="false">IF(B440="","",VLOOKUP(B440,Каталог!$A:$C,2,0))</f>
        <v/>
      </c>
      <c r="E440" s="22" t="str">
        <f aca="false">IF(B440="","",VLOOKUP(B440,Каталог!$A:$C,3,0))</f>
        <v/>
      </c>
      <c r="F440" s="22" t="str">
        <f aca="false">IF(B440="","",C440*E440)</f>
        <v/>
      </c>
      <c r="H440" s="26" t="str">
        <f aca="false">IF(I440="","",4)</f>
        <v/>
      </c>
      <c r="I440" s="21" t="str">
        <f aca="false" t="array" ref="I440:I440">IFERROR(INDEX(Заказы!$A$3:$A$29,SMALL(IF(Заказы!$Y$3:$Y$29&gt;0,ROW(Заказы!$Y$3:$Y$29)-ROW(Y$3)+1),4)),"")</f>
        <v/>
      </c>
      <c r="J440" s="26" t="str">
        <f aca="false">IF(I440="","",INDEX(Заказы!$Y$3:$Y$29,MATCH(I440,Заказы!$A$3:$A$29,0)))</f>
        <v/>
      </c>
      <c r="K440" s="26" t="str">
        <f aca="false">IF(I440="","",VLOOKUP(I440,Каталог!$A:$C,2,0))</f>
        <v/>
      </c>
      <c r="L440" s="22" t="str">
        <f aca="false">IF(I440="","",VLOOKUP(I440,Каталог!$A:$C,3,0))</f>
        <v/>
      </c>
      <c r="M440" s="22" t="str">
        <f aca="false">IF(I440="","",J440*L440)</f>
        <v/>
      </c>
    </row>
    <row r="441" customFormat="false" ht="15" hidden="false" customHeight="false" outlineLevel="0" collapsed="false">
      <c r="A441" s="26" t="str">
        <f aca="false">IF(B441="","",5)</f>
        <v/>
      </c>
      <c r="B441" s="21" t="str">
        <f aca="false" t="array" ref="B441:B441">IFERROR(INDEX(Заказы!$A$3:$A$29,SMALL(IF(Заказы!$X$3:$X$29&gt;0,ROW(Заказы!$X$3:$X$29)-ROW(X$3)+1),5)),"")</f>
        <v/>
      </c>
      <c r="C441" s="26" t="str">
        <f aca="false">IF(B441="","",INDEX(Заказы!$X$3:$X$29,MATCH(B441,Заказы!$A$3:$A$29,0)))</f>
        <v/>
      </c>
      <c r="D441" s="26" t="str">
        <f aca="false">IF(B441="","",VLOOKUP(B441,Каталог!$A:$C,2,0))</f>
        <v/>
      </c>
      <c r="E441" s="22" t="str">
        <f aca="false">IF(B441="","",VLOOKUP(B441,Каталог!$A:$C,3,0))</f>
        <v/>
      </c>
      <c r="F441" s="22" t="str">
        <f aca="false">IF(B441="","",C441*E441)</f>
        <v/>
      </c>
      <c r="H441" s="26" t="str">
        <f aca="false">IF(I441="","",5)</f>
        <v/>
      </c>
      <c r="I441" s="21" t="str">
        <f aca="false" t="array" ref="I441:I441">IFERROR(INDEX(Заказы!$A$3:$A$29,SMALL(IF(Заказы!$Y$3:$Y$29&gt;0,ROW(Заказы!$Y$3:$Y$29)-ROW(Y$3)+1),5)),"")</f>
        <v/>
      </c>
      <c r="J441" s="26" t="str">
        <f aca="false">IF(I441="","",INDEX(Заказы!$Y$3:$Y$29,MATCH(I441,Заказы!$A$3:$A$29,0)))</f>
        <v/>
      </c>
      <c r="K441" s="26" t="str">
        <f aca="false">IF(I441="","",VLOOKUP(I441,Каталог!$A:$C,2,0))</f>
        <v/>
      </c>
      <c r="L441" s="22" t="str">
        <f aca="false">IF(I441="","",VLOOKUP(I441,Каталог!$A:$C,3,0))</f>
        <v/>
      </c>
      <c r="M441" s="22" t="str">
        <f aca="false">IF(I441="","",J441*L441)</f>
        <v/>
      </c>
    </row>
    <row r="442" customFormat="false" ht="15" hidden="false" customHeight="false" outlineLevel="0" collapsed="false">
      <c r="A442" s="26" t="str">
        <f aca="false">IF(B442="","",6)</f>
        <v/>
      </c>
      <c r="B442" s="21" t="str">
        <f aca="false" t="array" ref="B442:B442">IFERROR(INDEX(Заказы!$A$3:$A$29,SMALL(IF(Заказы!$X$3:$X$29&gt;0,ROW(Заказы!$X$3:$X$29)-ROW(X$3)+1),6)),"")</f>
        <v/>
      </c>
      <c r="C442" s="26" t="str">
        <f aca="false">IF(B442="","",INDEX(Заказы!$X$3:$X$29,MATCH(B442,Заказы!$A$3:$A$29,0)))</f>
        <v/>
      </c>
      <c r="D442" s="26" t="str">
        <f aca="false">IF(B442="","",VLOOKUP(B442,Каталог!$A:$C,2,0))</f>
        <v/>
      </c>
      <c r="E442" s="22" t="str">
        <f aca="false">IF(B442="","",VLOOKUP(B442,Каталог!$A:$C,3,0))</f>
        <v/>
      </c>
      <c r="F442" s="22" t="str">
        <f aca="false">IF(B442="","",C442*E442)</f>
        <v/>
      </c>
      <c r="H442" s="26" t="str">
        <f aca="false">IF(I442="","",6)</f>
        <v/>
      </c>
      <c r="I442" s="21" t="str">
        <f aca="false" t="array" ref="I442:I442">IFERROR(INDEX(Заказы!$A$3:$A$29,SMALL(IF(Заказы!$Y$3:$Y$29&gt;0,ROW(Заказы!$Y$3:$Y$29)-ROW(Y$3)+1),6)),"")</f>
        <v/>
      </c>
      <c r="J442" s="26" t="str">
        <f aca="false">IF(I442="","",INDEX(Заказы!$Y$3:$Y$29,MATCH(I442,Заказы!$A$3:$A$29,0)))</f>
        <v/>
      </c>
      <c r="K442" s="26" t="str">
        <f aca="false">IF(I442="","",VLOOKUP(I442,Каталог!$A:$C,2,0))</f>
        <v/>
      </c>
      <c r="L442" s="22" t="str">
        <f aca="false">IF(I442="","",VLOOKUP(I442,Каталог!$A:$C,3,0))</f>
        <v/>
      </c>
      <c r="M442" s="22" t="str">
        <f aca="false">IF(I442="","",J442*L442)</f>
        <v/>
      </c>
    </row>
    <row r="443" customFormat="false" ht="15" hidden="false" customHeight="false" outlineLevel="0" collapsed="false">
      <c r="A443" s="26" t="str">
        <f aca="false">IF(B443="","",7)</f>
        <v/>
      </c>
      <c r="B443" s="21" t="str">
        <f aca="false" t="array" ref="B443:B443">IFERROR(INDEX(Заказы!$A$3:$A$29,SMALL(IF(Заказы!$X$3:$X$29&gt;0,ROW(Заказы!$X$3:$X$29)-ROW(X$3)+1),7)),"")</f>
        <v/>
      </c>
      <c r="C443" s="26" t="str">
        <f aca="false">IF(B443="","",INDEX(Заказы!$X$3:$X$29,MATCH(B443,Заказы!$A$3:$A$29,0)))</f>
        <v/>
      </c>
      <c r="D443" s="26" t="str">
        <f aca="false">IF(B443="","",VLOOKUP(B443,Каталог!$A:$C,2,0))</f>
        <v/>
      </c>
      <c r="E443" s="22" t="str">
        <f aca="false">IF(B443="","",VLOOKUP(B443,Каталог!$A:$C,3,0))</f>
        <v/>
      </c>
      <c r="F443" s="22" t="str">
        <f aca="false">IF(B443="","",C443*E443)</f>
        <v/>
      </c>
      <c r="H443" s="26" t="str">
        <f aca="false">IF(I443="","",7)</f>
        <v/>
      </c>
      <c r="I443" s="21" t="str">
        <f aca="false" t="array" ref="I443:I443">IFERROR(INDEX(Заказы!$A$3:$A$29,SMALL(IF(Заказы!$Y$3:$Y$29&gt;0,ROW(Заказы!$Y$3:$Y$29)-ROW(Y$3)+1),7)),"")</f>
        <v/>
      </c>
      <c r="J443" s="26" t="str">
        <f aca="false">IF(I443="","",INDEX(Заказы!$Y$3:$Y$29,MATCH(I443,Заказы!$A$3:$A$29,0)))</f>
        <v/>
      </c>
      <c r="K443" s="26" t="str">
        <f aca="false">IF(I443="","",VLOOKUP(I443,Каталог!$A:$C,2,0))</f>
        <v/>
      </c>
      <c r="L443" s="22" t="str">
        <f aca="false">IF(I443="","",VLOOKUP(I443,Каталог!$A:$C,3,0))</f>
        <v/>
      </c>
      <c r="M443" s="22" t="str">
        <f aca="false">IF(I443="","",J443*L443)</f>
        <v/>
      </c>
    </row>
    <row r="444" customFormat="false" ht="15" hidden="false" customHeight="false" outlineLevel="0" collapsed="false">
      <c r="A444" s="26" t="str">
        <f aca="false">IF(B444="","",8)</f>
        <v/>
      </c>
      <c r="B444" s="21" t="str">
        <f aca="false" t="array" ref="B444:B444">IFERROR(INDEX(Заказы!$A$3:$A$29,SMALL(IF(Заказы!$X$3:$X$29&gt;0,ROW(Заказы!$X$3:$X$29)-ROW(X$3)+1),8)),"")</f>
        <v/>
      </c>
      <c r="C444" s="26" t="str">
        <f aca="false">IF(B444="","",INDEX(Заказы!$X$3:$X$29,MATCH(B444,Заказы!$A$3:$A$29,0)))</f>
        <v/>
      </c>
      <c r="D444" s="26" t="str">
        <f aca="false">IF(B444="","",VLOOKUP(B444,Каталог!$A:$C,2,0))</f>
        <v/>
      </c>
      <c r="E444" s="22" t="str">
        <f aca="false">IF(B444="","",VLOOKUP(B444,Каталог!$A:$C,3,0))</f>
        <v/>
      </c>
      <c r="F444" s="22" t="str">
        <f aca="false">IF(B444="","",C444*E444)</f>
        <v/>
      </c>
      <c r="H444" s="26" t="str">
        <f aca="false">IF(I444="","",8)</f>
        <v/>
      </c>
      <c r="I444" s="21" t="str">
        <f aca="false" t="array" ref="I444:I444">IFERROR(INDEX(Заказы!$A$3:$A$29,SMALL(IF(Заказы!$Y$3:$Y$29&gt;0,ROW(Заказы!$Y$3:$Y$29)-ROW(Y$3)+1),8)),"")</f>
        <v/>
      </c>
      <c r="J444" s="26" t="str">
        <f aca="false">IF(I444="","",INDEX(Заказы!$Y$3:$Y$29,MATCH(I444,Заказы!$A$3:$A$29,0)))</f>
        <v/>
      </c>
      <c r="K444" s="26" t="str">
        <f aca="false">IF(I444="","",VLOOKUP(I444,Каталог!$A:$C,2,0))</f>
        <v/>
      </c>
      <c r="L444" s="22" t="str">
        <f aca="false">IF(I444="","",VLOOKUP(I444,Каталог!$A:$C,3,0))</f>
        <v/>
      </c>
      <c r="M444" s="22" t="str">
        <f aca="false">IF(I444="","",J444*L444)</f>
        <v/>
      </c>
    </row>
    <row r="445" customFormat="false" ht="15" hidden="false" customHeight="false" outlineLevel="0" collapsed="false">
      <c r="A445" s="26" t="str">
        <f aca="false">IF(B445="","",9)</f>
        <v/>
      </c>
      <c r="B445" s="21" t="str">
        <f aca="false" t="array" ref="B445:B445">IFERROR(INDEX(Заказы!$A$3:$A$29,SMALL(IF(Заказы!$X$3:$X$29&gt;0,ROW(Заказы!$X$3:$X$29)-ROW(X$3)+1),9)),"")</f>
        <v/>
      </c>
      <c r="C445" s="26" t="str">
        <f aca="false">IF(B445="","",INDEX(Заказы!$X$3:$X$29,MATCH(B445,Заказы!$A$3:$A$29,0)))</f>
        <v/>
      </c>
      <c r="D445" s="26" t="str">
        <f aca="false">IF(B445="","",VLOOKUP(B445,Каталог!$A:$C,2,0))</f>
        <v/>
      </c>
      <c r="E445" s="22" t="str">
        <f aca="false">IF(B445="","",VLOOKUP(B445,Каталог!$A:$C,3,0))</f>
        <v/>
      </c>
      <c r="F445" s="22" t="str">
        <f aca="false">IF(B445="","",C445*E445)</f>
        <v/>
      </c>
      <c r="H445" s="26" t="str">
        <f aca="false">IF(I445="","",9)</f>
        <v/>
      </c>
      <c r="I445" s="21" t="str">
        <f aca="false" t="array" ref="I445:I445">IFERROR(INDEX(Заказы!$A$3:$A$29,SMALL(IF(Заказы!$Y$3:$Y$29&gt;0,ROW(Заказы!$Y$3:$Y$29)-ROW(Y$3)+1),9)),"")</f>
        <v/>
      </c>
      <c r="J445" s="26" t="str">
        <f aca="false">IF(I445="","",INDEX(Заказы!$Y$3:$Y$29,MATCH(I445,Заказы!$A$3:$A$29,0)))</f>
        <v/>
      </c>
      <c r="K445" s="26" t="str">
        <f aca="false">IF(I445="","",VLOOKUP(I445,Каталог!$A:$C,2,0))</f>
        <v/>
      </c>
      <c r="L445" s="22" t="str">
        <f aca="false">IF(I445="","",VLOOKUP(I445,Каталог!$A:$C,3,0))</f>
        <v/>
      </c>
      <c r="M445" s="22" t="str">
        <f aca="false">IF(I445="","",J445*L445)</f>
        <v/>
      </c>
    </row>
    <row r="446" customFormat="false" ht="15" hidden="false" customHeight="false" outlineLevel="0" collapsed="false">
      <c r="A446" s="26" t="str">
        <f aca="false">IF(B446="","",10)</f>
        <v/>
      </c>
      <c r="B446" s="21" t="str">
        <f aca="false" t="array" ref="B446:B446">IFERROR(INDEX(Заказы!$A$3:$A$29,SMALL(IF(Заказы!$X$3:$X$29&gt;0,ROW(Заказы!$X$3:$X$29)-ROW(X$3)+1),10)),"")</f>
        <v/>
      </c>
      <c r="C446" s="26" t="str">
        <f aca="false">IF(B446="","",INDEX(Заказы!$X$3:$X$29,MATCH(B446,Заказы!$A$3:$A$29,0)))</f>
        <v/>
      </c>
      <c r="D446" s="26" t="str">
        <f aca="false">IF(B446="","",VLOOKUP(B446,Каталог!$A:$C,2,0))</f>
        <v/>
      </c>
      <c r="E446" s="22" t="str">
        <f aca="false">IF(B446="","",VLOOKUP(B446,Каталог!$A:$C,3,0))</f>
        <v/>
      </c>
      <c r="F446" s="22" t="str">
        <f aca="false">IF(B446="","",C446*E446)</f>
        <v/>
      </c>
      <c r="H446" s="26" t="str">
        <f aca="false">IF(I446="","",10)</f>
        <v/>
      </c>
      <c r="I446" s="21" t="str">
        <f aca="false" t="array" ref="I446:I446">IFERROR(INDEX(Заказы!$A$3:$A$29,SMALL(IF(Заказы!$Y$3:$Y$29&gt;0,ROW(Заказы!$Y$3:$Y$29)-ROW(Y$3)+1),10)),"")</f>
        <v/>
      </c>
      <c r="J446" s="26" t="str">
        <f aca="false">IF(I446="","",INDEX(Заказы!$Y$3:$Y$29,MATCH(I446,Заказы!$A$3:$A$29,0)))</f>
        <v/>
      </c>
      <c r="K446" s="26" t="str">
        <f aca="false">IF(I446="","",VLOOKUP(I446,Каталог!$A:$C,2,0))</f>
        <v/>
      </c>
      <c r="L446" s="22" t="str">
        <f aca="false">IF(I446="","",VLOOKUP(I446,Каталог!$A:$C,3,0))</f>
        <v/>
      </c>
      <c r="M446" s="22" t="str">
        <f aca="false">IF(I446="","",J446*L446)</f>
        <v/>
      </c>
    </row>
    <row r="447" customFormat="false" ht="15" hidden="false" customHeight="false" outlineLevel="0" collapsed="false">
      <c r="A447" s="26" t="str">
        <f aca="false">IF(B447="","",11)</f>
        <v/>
      </c>
      <c r="B447" s="21" t="str">
        <f aca="false" t="array" ref="B447:B447">IFERROR(INDEX(Заказы!$A$3:$A$29,SMALL(IF(Заказы!$X$3:$X$29&gt;0,ROW(Заказы!$X$3:$X$29)-ROW(X$3)+1),11)),"")</f>
        <v/>
      </c>
      <c r="C447" s="26" t="str">
        <f aca="false">IF(B447="","",INDEX(Заказы!$X$3:$X$29,MATCH(B447,Заказы!$A$3:$A$29,0)))</f>
        <v/>
      </c>
      <c r="D447" s="26" t="str">
        <f aca="false">IF(B447="","",VLOOKUP(B447,Каталог!$A:$C,2,0))</f>
        <v/>
      </c>
      <c r="E447" s="22" t="str">
        <f aca="false">IF(B447="","",VLOOKUP(B447,Каталог!$A:$C,3,0))</f>
        <v/>
      </c>
      <c r="F447" s="22" t="str">
        <f aca="false">IF(B447="","",C447*E447)</f>
        <v/>
      </c>
      <c r="H447" s="26" t="str">
        <f aca="false">IF(I447="","",11)</f>
        <v/>
      </c>
      <c r="I447" s="21" t="str">
        <f aca="false" t="array" ref="I447:I447">IFERROR(INDEX(Заказы!$A$3:$A$29,SMALL(IF(Заказы!$Y$3:$Y$29&gt;0,ROW(Заказы!$Y$3:$Y$29)-ROW(Y$3)+1),11)),"")</f>
        <v/>
      </c>
      <c r="J447" s="26" t="str">
        <f aca="false">IF(I447="","",INDEX(Заказы!$Y$3:$Y$29,MATCH(I447,Заказы!$A$3:$A$29,0)))</f>
        <v/>
      </c>
      <c r="K447" s="26" t="str">
        <f aca="false">IF(I447="","",VLOOKUP(I447,Каталог!$A:$C,2,0))</f>
        <v/>
      </c>
      <c r="L447" s="22" t="str">
        <f aca="false">IF(I447="","",VLOOKUP(I447,Каталог!$A:$C,3,0))</f>
        <v/>
      </c>
      <c r="M447" s="22" t="str">
        <f aca="false">IF(I447="","",J447*L447)</f>
        <v/>
      </c>
    </row>
    <row r="448" customFormat="false" ht="15" hidden="false" customHeight="false" outlineLevel="0" collapsed="false">
      <c r="A448" s="26" t="str">
        <f aca="false">IF(B448="","",12)</f>
        <v/>
      </c>
      <c r="B448" s="21" t="str">
        <f aca="false" t="array" ref="B448:B448">IFERROR(INDEX(Заказы!$A$3:$A$29,SMALL(IF(Заказы!$X$3:$X$29&gt;0,ROW(Заказы!$X$3:$X$29)-ROW(X$3)+1),12)),"")</f>
        <v/>
      </c>
      <c r="C448" s="26" t="str">
        <f aca="false">IF(B448="","",INDEX(Заказы!$X$3:$X$29,MATCH(B448,Заказы!$A$3:$A$29,0)))</f>
        <v/>
      </c>
      <c r="D448" s="26" t="str">
        <f aca="false">IF(B448="","",VLOOKUP(B448,Каталог!$A:$C,2,0))</f>
        <v/>
      </c>
      <c r="E448" s="22" t="str">
        <f aca="false">IF(B448="","",VLOOKUP(B448,Каталог!$A:$C,3,0))</f>
        <v/>
      </c>
      <c r="F448" s="22" t="str">
        <f aca="false">IF(B448="","",C448*E448)</f>
        <v/>
      </c>
      <c r="H448" s="26" t="str">
        <f aca="false">IF(I448="","",12)</f>
        <v/>
      </c>
      <c r="I448" s="21" t="str">
        <f aca="false" t="array" ref="I448:I448">IFERROR(INDEX(Заказы!$A$3:$A$29,SMALL(IF(Заказы!$Y$3:$Y$29&gt;0,ROW(Заказы!$Y$3:$Y$29)-ROW(Y$3)+1),12)),"")</f>
        <v/>
      </c>
      <c r="J448" s="26" t="str">
        <f aca="false">IF(I448="","",INDEX(Заказы!$Y$3:$Y$29,MATCH(I448,Заказы!$A$3:$A$29,0)))</f>
        <v/>
      </c>
      <c r="K448" s="26" t="str">
        <f aca="false">IF(I448="","",VLOOKUP(I448,Каталог!$A:$C,2,0))</f>
        <v/>
      </c>
      <c r="L448" s="22" t="str">
        <f aca="false">IF(I448="","",VLOOKUP(I448,Каталог!$A:$C,3,0))</f>
        <v/>
      </c>
      <c r="M448" s="22" t="str">
        <f aca="false">IF(I448="","",J448*L448)</f>
        <v/>
      </c>
    </row>
    <row r="449" customFormat="false" ht="15" hidden="false" customHeight="false" outlineLevel="0" collapsed="false">
      <c r="A449" s="26" t="str">
        <f aca="false">IF(B449="","",13)</f>
        <v/>
      </c>
      <c r="B449" s="21" t="str">
        <f aca="false" t="array" ref="B449:B449">IFERROR(INDEX(Заказы!$A$3:$A$29,SMALL(IF(Заказы!$X$3:$X$29&gt;0,ROW(Заказы!$X$3:$X$29)-ROW(X$3)+1),13)),"")</f>
        <v/>
      </c>
      <c r="C449" s="26" t="str">
        <f aca="false">IF(B449="","",INDEX(Заказы!$X$3:$X$29,MATCH(B449,Заказы!$A$3:$A$29,0)))</f>
        <v/>
      </c>
      <c r="D449" s="26" t="str">
        <f aca="false">IF(B449="","",VLOOKUP(B449,Каталог!$A:$C,2,0))</f>
        <v/>
      </c>
      <c r="E449" s="22" t="str">
        <f aca="false">IF(B449="","",VLOOKUP(B449,Каталог!$A:$C,3,0))</f>
        <v/>
      </c>
      <c r="F449" s="22" t="str">
        <f aca="false">IF(B449="","",C449*E449)</f>
        <v/>
      </c>
      <c r="H449" s="26" t="str">
        <f aca="false">IF(I449="","",13)</f>
        <v/>
      </c>
      <c r="I449" s="21" t="str">
        <f aca="false" t="array" ref="I449:I449">IFERROR(INDEX(Заказы!$A$3:$A$29,SMALL(IF(Заказы!$Y$3:$Y$29&gt;0,ROW(Заказы!$Y$3:$Y$29)-ROW(Y$3)+1),13)),"")</f>
        <v/>
      </c>
      <c r="J449" s="26" t="str">
        <f aca="false">IF(I449="","",INDEX(Заказы!$Y$3:$Y$29,MATCH(I449,Заказы!$A$3:$A$29,0)))</f>
        <v/>
      </c>
      <c r="K449" s="26" t="str">
        <f aca="false">IF(I449="","",VLOOKUP(I449,Каталог!$A:$C,2,0))</f>
        <v/>
      </c>
      <c r="L449" s="22" t="str">
        <f aca="false">IF(I449="","",VLOOKUP(I449,Каталог!$A:$C,3,0))</f>
        <v/>
      </c>
      <c r="M449" s="22" t="str">
        <f aca="false">IF(I449="","",J449*L449)</f>
        <v/>
      </c>
    </row>
    <row r="450" customFormat="false" ht="15" hidden="false" customHeight="false" outlineLevel="0" collapsed="false">
      <c r="A450" s="26" t="str">
        <f aca="false">IF(B450="","",14)</f>
        <v/>
      </c>
      <c r="B450" s="21" t="str">
        <f aca="false" t="array" ref="B450:B450">IFERROR(INDEX(Заказы!$A$3:$A$29,SMALL(IF(Заказы!$X$3:$X$29&gt;0,ROW(Заказы!$X$3:$X$29)-ROW(X$3)+1),14)),"")</f>
        <v/>
      </c>
      <c r="C450" s="26" t="str">
        <f aca="false">IF(B450="","",INDEX(Заказы!$X$3:$X$29,MATCH(B450,Заказы!$A$3:$A$29,0)))</f>
        <v/>
      </c>
      <c r="D450" s="26" t="str">
        <f aca="false">IF(B450="","",VLOOKUP(B450,Каталог!$A:$C,2,0))</f>
        <v/>
      </c>
      <c r="E450" s="22" t="str">
        <f aca="false">IF(B450="","",VLOOKUP(B450,Каталог!$A:$C,3,0))</f>
        <v/>
      </c>
      <c r="F450" s="22" t="str">
        <f aca="false">IF(B450="","",C450*E450)</f>
        <v/>
      </c>
      <c r="H450" s="26" t="str">
        <f aca="false">IF(I450="","",14)</f>
        <v/>
      </c>
      <c r="I450" s="21" t="str">
        <f aca="false" t="array" ref="I450:I450">IFERROR(INDEX(Заказы!$A$3:$A$29,SMALL(IF(Заказы!$Y$3:$Y$29&gt;0,ROW(Заказы!$Y$3:$Y$29)-ROW(Y$3)+1),14)),"")</f>
        <v/>
      </c>
      <c r="J450" s="26" t="str">
        <f aca="false">IF(I450="","",INDEX(Заказы!$Y$3:$Y$29,MATCH(I450,Заказы!$A$3:$A$29,0)))</f>
        <v/>
      </c>
      <c r="K450" s="26" t="str">
        <f aca="false">IF(I450="","",VLOOKUP(I450,Каталог!$A:$C,2,0))</f>
        <v/>
      </c>
      <c r="L450" s="22" t="str">
        <f aca="false">IF(I450="","",VLOOKUP(I450,Каталог!$A:$C,3,0))</f>
        <v/>
      </c>
      <c r="M450" s="22" t="str">
        <f aca="false">IF(I450="","",J450*L450)</f>
        <v/>
      </c>
    </row>
    <row r="451" customFormat="false" ht="15" hidden="false" customHeight="false" outlineLevel="0" collapsed="false">
      <c r="A451" s="26" t="str">
        <f aca="false">IF(B451="","",15)</f>
        <v/>
      </c>
      <c r="B451" s="21" t="str">
        <f aca="false" t="array" ref="B451:B451">IFERROR(INDEX(Заказы!$A$3:$A$29,SMALL(IF(Заказы!$X$3:$X$29&gt;0,ROW(Заказы!$X$3:$X$29)-ROW(X$3)+1),15)),"")</f>
        <v/>
      </c>
      <c r="C451" s="26" t="str">
        <f aca="false">IF(B451="","",INDEX(Заказы!$X$3:$X$29,MATCH(B451,Заказы!$A$3:$A$29,0)))</f>
        <v/>
      </c>
      <c r="D451" s="26" t="str">
        <f aca="false">IF(B451="","",VLOOKUP(B451,Каталог!$A:$C,2,0))</f>
        <v/>
      </c>
      <c r="E451" s="22" t="str">
        <f aca="false">IF(B451="","",VLOOKUP(B451,Каталог!$A:$C,3,0))</f>
        <v/>
      </c>
      <c r="F451" s="22" t="str">
        <f aca="false">IF(B451="","",C451*E451)</f>
        <v/>
      </c>
      <c r="H451" s="26" t="str">
        <f aca="false">IF(I451="","",15)</f>
        <v/>
      </c>
      <c r="I451" s="21" t="str">
        <f aca="false" t="array" ref="I451:I451">IFERROR(INDEX(Заказы!$A$3:$A$29,SMALL(IF(Заказы!$Y$3:$Y$29&gt;0,ROW(Заказы!$Y$3:$Y$29)-ROW(Y$3)+1),15)),"")</f>
        <v/>
      </c>
      <c r="J451" s="26" t="str">
        <f aca="false">IF(I451="","",INDEX(Заказы!$Y$3:$Y$29,MATCH(I451,Заказы!$A$3:$A$29,0)))</f>
        <v/>
      </c>
      <c r="K451" s="26" t="str">
        <f aca="false">IF(I451="","",VLOOKUP(I451,Каталог!$A:$C,2,0))</f>
        <v/>
      </c>
      <c r="L451" s="22" t="str">
        <f aca="false">IF(I451="","",VLOOKUP(I451,Каталог!$A:$C,3,0))</f>
        <v/>
      </c>
      <c r="M451" s="22" t="str">
        <f aca="false">IF(I451="","",J451*L451)</f>
        <v/>
      </c>
    </row>
    <row r="452" customFormat="false" ht="15" hidden="false" customHeight="false" outlineLevel="0" collapsed="false">
      <c r="A452" s="26" t="str">
        <f aca="false">IF(B452="","",16)</f>
        <v/>
      </c>
      <c r="B452" s="21" t="str">
        <f aca="false" t="array" ref="B452:B452">IFERROR(INDEX(Заказы!$A$3:$A$29,SMALL(IF(Заказы!$X$3:$X$29&gt;0,ROW(Заказы!$X$3:$X$29)-ROW(X$3)+1),16)),"")</f>
        <v/>
      </c>
      <c r="C452" s="26" t="str">
        <f aca="false">IF(B452="","",INDEX(Заказы!$X$3:$X$29,MATCH(B452,Заказы!$A$3:$A$29,0)))</f>
        <v/>
      </c>
      <c r="D452" s="26" t="str">
        <f aca="false">IF(B452="","",VLOOKUP(B452,Каталог!$A:$C,2,0))</f>
        <v/>
      </c>
      <c r="E452" s="22" t="str">
        <f aca="false">IF(B452="","",VLOOKUP(B452,Каталог!$A:$C,3,0))</f>
        <v/>
      </c>
      <c r="F452" s="22" t="str">
        <f aca="false">IF(B452="","",C452*E452)</f>
        <v/>
      </c>
      <c r="H452" s="26" t="str">
        <f aca="false">IF(I452="","",16)</f>
        <v/>
      </c>
      <c r="I452" s="21" t="str">
        <f aca="false" t="array" ref="I452:I452">IFERROR(INDEX(Заказы!$A$3:$A$29,SMALL(IF(Заказы!$Y$3:$Y$29&gt;0,ROW(Заказы!$Y$3:$Y$29)-ROW(Y$3)+1),16)),"")</f>
        <v/>
      </c>
      <c r="J452" s="26" t="str">
        <f aca="false">IF(I452="","",INDEX(Заказы!$Y$3:$Y$29,MATCH(I452,Заказы!$A$3:$A$29,0)))</f>
        <v/>
      </c>
      <c r="K452" s="26" t="str">
        <f aca="false">IF(I452="","",VLOOKUP(I452,Каталог!$A:$C,2,0))</f>
        <v/>
      </c>
      <c r="L452" s="22" t="str">
        <f aca="false">IF(I452="","",VLOOKUP(I452,Каталог!$A:$C,3,0))</f>
        <v/>
      </c>
      <c r="M452" s="22" t="str">
        <f aca="false">IF(I452="","",J452*L452)</f>
        <v/>
      </c>
    </row>
    <row r="453" customFormat="false" ht="15" hidden="false" customHeight="false" outlineLevel="0" collapsed="false">
      <c r="A453" s="26" t="str">
        <f aca="false">IF(B453="","",17)</f>
        <v/>
      </c>
      <c r="B453" s="21" t="str">
        <f aca="false" t="array" ref="B453:B453">IFERROR(INDEX(Заказы!$A$3:$A$29,SMALL(IF(Заказы!$X$3:$X$29&gt;0,ROW(Заказы!$X$3:$X$29)-ROW(X$3)+1),17)),"")</f>
        <v/>
      </c>
      <c r="C453" s="26" t="str">
        <f aca="false">IF(B453="","",INDEX(Заказы!$X$3:$X$29,MATCH(B453,Заказы!$A$3:$A$29,0)))</f>
        <v/>
      </c>
      <c r="D453" s="26" t="str">
        <f aca="false">IF(B453="","",VLOOKUP(B453,Каталог!$A:$C,2,0))</f>
        <v/>
      </c>
      <c r="E453" s="22" t="str">
        <f aca="false">IF(B453="","",VLOOKUP(B453,Каталог!$A:$C,3,0))</f>
        <v/>
      </c>
      <c r="F453" s="22" t="str">
        <f aca="false">IF(B453="","",C453*E453)</f>
        <v/>
      </c>
      <c r="H453" s="26" t="str">
        <f aca="false">IF(I453="","",17)</f>
        <v/>
      </c>
      <c r="I453" s="21" t="str">
        <f aca="false" t="array" ref="I453:I453">IFERROR(INDEX(Заказы!$A$3:$A$29,SMALL(IF(Заказы!$Y$3:$Y$29&gt;0,ROW(Заказы!$Y$3:$Y$29)-ROW(Y$3)+1),17)),"")</f>
        <v/>
      </c>
      <c r="J453" s="26" t="str">
        <f aca="false">IF(I453="","",INDEX(Заказы!$Y$3:$Y$29,MATCH(I453,Заказы!$A$3:$A$29,0)))</f>
        <v/>
      </c>
      <c r="K453" s="26" t="str">
        <f aca="false">IF(I453="","",VLOOKUP(I453,Каталог!$A:$C,2,0))</f>
        <v/>
      </c>
      <c r="L453" s="22" t="str">
        <f aca="false">IF(I453="","",VLOOKUP(I453,Каталог!$A:$C,3,0))</f>
        <v/>
      </c>
      <c r="M453" s="22" t="str">
        <f aca="false">IF(I453="","",J453*L453)</f>
        <v/>
      </c>
    </row>
    <row r="454" customFormat="false" ht="15" hidden="false" customHeight="false" outlineLevel="0" collapsed="false">
      <c r="A454" s="26" t="str">
        <f aca="false">IF(B454="","",18)</f>
        <v/>
      </c>
      <c r="B454" s="21" t="str">
        <f aca="false" t="array" ref="B454:B454">IFERROR(INDEX(Заказы!$A$3:$A$29,SMALL(IF(Заказы!$X$3:$X$29&gt;0,ROW(Заказы!$X$3:$X$29)-ROW(X$3)+1),18)),"")</f>
        <v/>
      </c>
      <c r="C454" s="26" t="str">
        <f aca="false">IF(B454="","",INDEX(Заказы!$X$3:$X$29,MATCH(B454,Заказы!$A$3:$A$29,0)))</f>
        <v/>
      </c>
      <c r="D454" s="26" t="str">
        <f aca="false">IF(B454="","",VLOOKUP(B454,Каталог!$A:$C,2,0))</f>
        <v/>
      </c>
      <c r="E454" s="22" t="str">
        <f aca="false">IF(B454="","",VLOOKUP(B454,Каталог!$A:$C,3,0))</f>
        <v/>
      </c>
      <c r="F454" s="22" t="str">
        <f aca="false">IF(B454="","",C454*E454)</f>
        <v/>
      </c>
      <c r="H454" s="26" t="str">
        <f aca="false">IF(I454="","",18)</f>
        <v/>
      </c>
      <c r="I454" s="21" t="str">
        <f aca="false" t="array" ref="I454:I454">IFERROR(INDEX(Заказы!$A$3:$A$29,SMALL(IF(Заказы!$Y$3:$Y$29&gt;0,ROW(Заказы!$Y$3:$Y$29)-ROW(Y$3)+1),18)),"")</f>
        <v/>
      </c>
      <c r="J454" s="26" t="str">
        <f aca="false">IF(I454="","",INDEX(Заказы!$Y$3:$Y$29,MATCH(I454,Заказы!$A$3:$A$29,0)))</f>
        <v/>
      </c>
      <c r="K454" s="26" t="str">
        <f aca="false">IF(I454="","",VLOOKUP(I454,Каталог!$A:$C,2,0))</f>
        <v/>
      </c>
      <c r="L454" s="22" t="str">
        <f aca="false">IF(I454="","",VLOOKUP(I454,Каталог!$A:$C,3,0))</f>
        <v/>
      </c>
      <c r="M454" s="22" t="str">
        <f aca="false">IF(I454="","",J454*L454)</f>
        <v/>
      </c>
    </row>
    <row r="455" customFormat="false" ht="15" hidden="false" customHeight="false" outlineLevel="0" collapsed="false">
      <c r="A455" s="26" t="str">
        <f aca="false">IF(B455="","",19)</f>
        <v/>
      </c>
      <c r="B455" s="21" t="str">
        <f aca="false" t="array" ref="B455:B455">IFERROR(INDEX(Заказы!$A$3:$A$29,SMALL(IF(Заказы!$X$3:$X$29&gt;0,ROW(Заказы!$X$3:$X$29)-ROW(X$3)+1),19)),"")</f>
        <v/>
      </c>
      <c r="C455" s="26" t="str">
        <f aca="false">IF(B455="","",INDEX(Заказы!$X$3:$X$29,MATCH(B455,Заказы!$A$3:$A$29,0)))</f>
        <v/>
      </c>
      <c r="D455" s="26" t="str">
        <f aca="false">IF(B455="","",VLOOKUP(B455,Каталог!$A:$C,2,0))</f>
        <v/>
      </c>
      <c r="E455" s="22" t="str">
        <f aca="false">IF(B455="","",VLOOKUP(B455,Каталог!$A:$C,3,0))</f>
        <v/>
      </c>
      <c r="F455" s="22" t="str">
        <f aca="false">IF(B455="","",C455*E455)</f>
        <v/>
      </c>
      <c r="H455" s="26" t="str">
        <f aca="false">IF(I455="","",19)</f>
        <v/>
      </c>
      <c r="I455" s="21" t="str">
        <f aca="false" t="array" ref="I455:I455">IFERROR(INDEX(Заказы!$A$3:$A$29,SMALL(IF(Заказы!$Y$3:$Y$29&gt;0,ROW(Заказы!$Y$3:$Y$29)-ROW(Y$3)+1),19)),"")</f>
        <v/>
      </c>
      <c r="J455" s="26" t="str">
        <f aca="false">IF(I455="","",INDEX(Заказы!$Y$3:$Y$29,MATCH(I455,Заказы!$A$3:$A$29,0)))</f>
        <v/>
      </c>
      <c r="K455" s="26" t="str">
        <f aca="false">IF(I455="","",VLOOKUP(I455,Каталог!$A:$C,2,0))</f>
        <v/>
      </c>
      <c r="L455" s="22" t="str">
        <f aca="false">IF(I455="","",VLOOKUP(I455,Каталог!$A:$C,3,0))</f>
        <v/>
      </c>
      <c r="M455" s="22" t="str">
        <f aca="false">IF(I455="","",J455*L455)</f>
        <v/>
      </c>
    </row>
    <row r="456" customFormat="false" ht="15" hidden="false" customHeight="false" outlineLevel="0" collapsed="false">
      <c r="A456" s="26" t="str">
        <f aca="false">IF(B456="","",20)</f>
        <v/>
      </c>
      <c r="B456" s="21" t="str">
        <f aca="false" t="array" ref="B456:B456">IFERROR(INDEX(Заказы!$A$3:$A$29,SMALL(IF(Заказы!$X$3:$X$29&gt;0,ROW(Заказы!$X$3:$X$29)-ROW(X$3)+1),20)),"")</f>
        <v/>
      </c>
      <c r="C456" s="26" t="str">
        <f aca="false">IF(B456="","",INDEX(Заказы!$X$3:$X$29,MATCH(B456,Заказы!$A$3:$A$29,0)))</f>
        <v/>
      </c>
      <c r="D456" s="26" t="str">
        <f aca="false">IF(B456="","",VLOOKUP(B456,Каталог!$A:$C,2,0))</f>
        <v/>
      </c>
      <c r="E456" s="22" t="str">
        <f aca="false">IF(B456="","",VLOOKUP(B456,Каталог!$A:$C,3,0))</f>
        <v/>
      </c>
      <c r="F456" s="22" t="str">
        <f aca="false">IF(B456="","",C456*E456)</f>
        <v/>
      </c>
      <c r="H456" s="26" t="str">
        <f aca="false">IF(I456="","",20)</f>
        <v/>
      </c>
      <c r="I456" s="21" t="str">
        <f aca="false" t="array" ref="I456:I456">IFERROR(INDEX(Заказы!$A$3:$A$29,SMALL(IF(Заказы!$Y$3:$Y$29&gt;0,ROW(Заказы!$Y$3:$Y$29)-ROW(Y$3)+1),20)),"")</f>
        <v/>
      </c>
      <c r="J456" s="26" t="str">
        <f aca="false">IF(I456="","",INDEX(Заказы!$Y$3:$Y$29,MATCH(I456,Заказы!$A$3:$A$29,0)))</f>
        <v/>
      </c>
      <c r="K456" s="26" t="str">
        <f aca="false">IF(I456="","",VLOOKUP(I456,Каталог!$A:$C,2,0))</f>
        <v/>
      </c>
      <c r="L456" s="22" t="str">
        <f aca="false">IF(I456="","",VLOOKUP(I456,Каталог!$A:$C,3,0))</f>
        <v/>
      </c>
      <c r="M456" s="22" t="str">
        <f aca="false">IF(I456="","",J456*L456)</f>
        <v/>
      </c>
    </row>
    <row r="457" customFormat="false" ht="15" hidden="false" customHeight="false" outlineLevel="0" collapsed="false">
      <c r="A457" s="26" t="str">
        <f aca="false">IF(B457="","",21)</f>
        <v/>
      </c>
      <c r="B457" s="21" t="str">
        <f aca="false" t="array" ref="B457:B457">IFERROR(INDEX(Заказы!$A$3:$A$29,SMALL(IF(Заказы!$X$3:$X$29&gt;0,ROW(Заказы!$X$3:$X$29)-ROW(X$3)+1),21)),"")</f>
        <v/>
      </c>
      <c r="C457" s="26" t="str">
        <f aca="false">IF(B457="","",INDEX(Заказы!$X$3:$X$29,MATCH(B457,Заказы!$A$3:$A$29,0)))</f>
        <v/>
      </c>
      <c r="D457" s="26" t="str">
        <f aca="false">IF(B457="","",VLOOKUP(B457,Каталог!$A:$C,2,0))</f>
        <v/>
      </c>
      <c r="E457" s="22" t="str">
        <f aca="false">IF(B457="","",VLOOKUP(B457,Каталог!$A:$C,3,0))</f>
        <v/>
      </c>
      <c r="F457" s="22" t="str">
        <f aca="false">IF(B457="","",C457*E457)</f>
        <v/>
      </c>
      <c r="H457" s="26" t="str">
        <f aca="false">IF(I457="","",21)</f>
        <v/>
      </c>
      <c r="I457" s="21" t="str">
        <f aca="false" t="array" ref="I457:I457">IFERROR(INDEX(Заказы!$A$3:$A$29,SMALL(IF(Заказы!$Y$3:$Y$29&gt;0,ROW(Заказы!$Y$3:$Y$29)-ROW(Y$3)+1),21)),"")</f>
        <v/>
      </c>
      <c r="J457" s="26" t="str">
        <f aca="false">IF(I457="","",INDEX(Заказы!$Y$3:$Y$29,MATCH(I457,Заказы!$A$3:$A$29,0)))</f>
        <v/>
      </c>
      <c r="K457" s="26" t="str">
        <f aca="false">IF(I457="","",VLOOKUP(I457,Каталог!$A:$C,2,0))</f>
        <v/>
      </c>
      <c r="L457" s="22" t="str">
        <f aca="false">IF(I457="","",VLOOKUP(I457,Каталог!$A:$C,3,0))</f>
        <v/>
      </c>
      <c r="M457" s="22" t="str">
        <f aca="false">IF(I457="","",J457*L457)</f>
        <v/>
      </c>
    </row>
    <row r="458" customFormat="false" ht="15" hidden="false" customHeight="false" outlineLevel="0" collapsed="false">
      <c r="A458" s="26" t="str">
        <f aca="false">IF(B458="","",22)</f>
        <v/>
      </c>
      <c r="B458" s="21" t="str">
        <f aca="false" t="array" ref="B458:B458">IFERROR(INDEX(Заказы!$A$3:$A$29,SMALL(IF(Заказы!$X$3:$X$29&gt;0,ROW(Заказы!$X$3:$X$29)-ROW(X$3)+1),22)),"")</f>
        <v/>
      </c>
      <c r="C458" s="26" t="str">
        <f aca="false">IF(B458="","",INDEX(Заказы!$X$3:$X$29,MATCH(B458,Заказы!$A$3:$A$29,0)))</f>
        <v/>
      </c>
      <c r="D458" s="26" t="str">
        <f aca="false">IF(B458="","",VLOOKUP(B458,Каталог!$A:$C,2,0))</f>
        <v/>
      </c>
      <c r="E458" s="22" t="str">
        <f aca="false">IF(B458="","",VLOOKUP(B458,Каталог!$A:$C,3,0))</f>
        <v/>
      </c>
      <c r="F458" s="22" t="str">
        <f aca="false">IF(B458="","",C458*E458)</f>
        <v/>
      </c>
      <c r="H458" s="26" t="str">
        <f aca="false">IF(I458="","",22)</f>
        <v/>
      </c>
      <c r="I458" s="21" t="str">
        <f aca="false" t="array" ref="I458:I458">IFERROR(INDEX(Заказы!$A$3:$A$29,SMALL(IF(Заказы!$Y$3:$Y$29&gt;0,ROW(Заказы!$Y$3:$Y$29)-ROW(Y$3)+1),22)),"")</f>
        <v/>
      </c>
      <c r="J458" s="26" t="str">
        <f aca="false">IF(I458="","",INDEX(Заказы!$Y$3:$Y$29,MATCH(I458,Заказы!$A$3:$A$29,0)))</f>
        <v/>
      </c>
      <c r="K458" s="26" t="str">
        <f aca="false">IF(I458="","",VLOOKUP(I458,Каталог!$A:$C,2,0))</f>
        <v/>
      </c>
      <c r="L458" s="22" t="str">
        <f aca="false">IF(I458="","",VLOOKUP(I458,Каталог!$A:$C,3,0))</f>
        <v/>
      </c>
      <c r="M458" s="22" t="str">
        <f aca="false">IF(I458="","",J458*L458)</f>
        <v/>
      </c>
    </row>
    <row r="459" customFormat="false" ht="15" hidden="false" customHeight="false" outlineLevel="0" collapsed="false">
      <c r="A459" s="26" t="str">
        <f aca="false">IF(B459="","",23)</f>
        <v/>
      </c>
      <c r="B459" s="21" t="str">
        <f aca="false" t="array" ref="B459:B459">IFERROR(INDEX(Заказы!$A$3:$A$29,SMALL(IF(Заказы!$X$3:$X$29&gt;0,ROW(Заказы!$X$3:$X$29)-ROW(X$3)+1),23)),"")</f>
        <v/>
      </c>
      <c r="C459" s="26" t="str">
        <f aca="false">IF(B459="","",INDEX(Заказы!$X$3:$X$29,MATCH(B459,Заказы!$A$3:$A$29,0)))</f>
        <v/>
      </c>
      <c r="D459" s="26" t="str">
        <f aca="false">IF(B459="","",VLOOKUP(B459,Каталог!$A:$C,2,0))</f>
        <v/>
      </c>
      <c r="E459" s="22" t="str">
        <f aca="false">IF(B459="","",VLOOKUP(B459,Каталог!$A:$C,3,0))</f>
        <v/>
      </c>
      <c r="F459" s="22" t="str">
        <f aca="false">IF(B459="","",C459*E459)</f>
        <v/>
      </c>
      <c r="H459" s="26" t="str">
        <f aca="false">IF(I459="","",23)</f>
        <v/>
      </c>
      <c r="I459" s="21" t="str">
        <f aca="false" t="array" ref="I459:I459">IFERROR(INDEX(Заказы!$A$3:$A$29,SMALL(IF(Заказы!$Y$3:$Y$29&gt;0,ROW(Заказы!$Y$3:$Y$29)-ROW(Y$3)+1),23)),"")</f>
        <v/>
      </c>
      <c r="J459" s="26" t="str">
        <f aca="false">IF(I459="","",INDEX(Заказы!$Y$3:$Y$29,MATCH(I459,Заказы!$A$3:$A$29,0)))</f>
        <v/>
      </c>
      <c r="K459" s="26" t="str">
        <f aca="false">IF(I459="","",VLOOKUP(I459,Каталог!$A:$C,2,0))</f>
        <v/>
      </c>
      <c r="L459" s="22" t="str">
        <f aca="false">IF(I459="","",VLOOKUP(I459,Каталог!$A:$C,3,0))</f>
        <v/>
      </c>
      <c r="M459" s="22" t="str">
        <f aca="false">IF(I459="","",J459*L459)</f>
        <v/>
      </c>
    </row>
    <row r="460" customFormat="false" ht="15" hidden="false" customHeight="false" outlineLevel="0" collapsed="false">
      <c r="A460" s="26" t="str">
        <f aca="false">IF(B460="","",24)</f>
        <v/>
      </c>
      <c r="B460" s="21" t="str">
        <f aca="false" t="array" ref="B460:B460">IFERROR(INDEX(Заказы!$A$3:$A$29,SMALL(IF(Заказы!$X$3:$X$29&gt;0,ROW(Заказы!$X$3:$X$29)-ROW(X$3)+1),24)),"")</f>
        <v/>
      </c>
      <c r="C460" s="26" t="str">
        <f aca="false">IF(B460="","",INDEX(Заказы!$X$3:$X$29,MATCH(B460,Заказы!$A$3:$A$29,0)))</f>
        <v/>
      </c>
      <c r="D460" s="26" t="str">
        <f aca="false">IF(B460="","",VLOOKUP(B460,Каталог!$A:$C,2,0))</f>
        <v/>
      </c>
      <c r="E460" s="22" t="str">
        <f aca="false">IF(B460="","",VLOOKUP(B460,Каталог!$A:$C,3,0))</f>
        <v/>
      </c>
      <c r="F460" s="22" t="str">
        <f aca="false">IF(B460="","",C460*E460)</f>
        <v/>
      </c>
      <c r="H460" s="26" t="str">
        <f aca="false">IF(I460="","",24)</f>
        <v/>
      </c>
      <c r="I460" s="21" t="str">
        <f aca="false" t="array" ref="I460:I460">IFERROR(INDEX(Заказы!$A$3:$A$29,SMALL(IF(Заказы!$Y$3:$Y$29&gt;0,ROW(Заказы!$Y$3:$Y$29)-ROW(Y$3)+1),24)),"")</f>
        <v/>
      </c>
      <c r="J460" s="26" t="str">
        <f aca="false">IF(I460="","",INDEX(Заказы!$Y$3:$Y$29,MATCH(I460,Заказы!$A$3:$A$29,0)))</f>
        <v/>
      </c>
      <c r="K460" s="26" t="str">
        <f aca="false">IF(I460="","",VLOOKUP(I460,Каталог!$A:$C,2,0))</f>
        <v/>
      </c>
      <c r="L460" s="22" t="str">
        <f aca="false">IF(I460="","",VLOOKUP(I460,Каталог!$A:$C,3,0))</f>
        <v/>
      </c>
      <c r="M460" s="22" t="str">
        <f aca="false">IF(I460="","",J460*L460)</f>
        <v/>
      </c>
    </row>
    <row r="461" customFormat="false" ht="15" hidden="false" customHeight="false" outlineLevel="0" collapsed="false">
      <c r="A461" s="26" t="str">
        <f aca="false">IF(B461="","",25)</f>
        <v/>
      </c>
      <c r="B461" s="21" t="str">
        <f aca="false" t="array" ref="B461:B461">IFERROR(INDEX(Заказы!$A$3:$A$29,SMALL(IF(Заказы!$X$3:$X$29&gt;0,ROW(Заказы!$X$3:$X$29)-ROW(X$3)+1),25)),"")</f>
        <v/>
      </c>
      <c r="C461" s="26" t="str">
        <f aca="false">IF(B461="","",INDEX(Заказы!$X$3:$X$29,MATCH(B461,Заказы!$A$3:$A$29,0)))</f>
        <v/>
      </c>
      <c r="D461" s="26" t="str">
        <f aca="false">IF(B461="","",VLOOKUP(B461,Каталог!$A:$C,2,0))</f>
        <v/>
      </c>
      <c r="E461" s="22" t="str">
        <f aca="false">IF(B461="","",VLOOKUP(B461,Каталог!$A:$C,3,0))</f>
        <v/>
      </c>
      <c r="F461" s="22" t="str">
        <f aca="false">IF(B461="","",C461*E461)</f>
        <v/>
      </c>
      <c r="H461" s="26" t="str">
        <f aca="false">IF(I461="","",25)</f>
        <v/>
      </c>
      <c r="I461" s="21" t="str">
        <f aca="false" t="array" ref="I461:I461">IFERROR(INDEX(Заказы!$A$3:$A$29,SMALL(IF(Заказы!$Y$3:$Y$29&gt;0,ROW(Заказы!$Y$3:$Y$29)-ROW(Y$3)+1),25)),"")</f>
        <v/>
      </c>
      <c r="J461" s="26" t="str">
        <f aca="false">IF(I461="","",INDEX(Заказы!$Y$3:$Y$29,MATCH(I461,Заказы!$A$3:$A$29,0)))</f>
        <v/>
      </c>
      <c r="K461" s="26" t="str">
        <f aca="false">IF(I461="","",VLOOKUP(I461,Каталог!$A:$C,2,0))</f>
        <v/>
      </c>
      <c r="L461" s="22" t="str">
        <f aca="false">IF(I461="","",VLOOKUP(I461,Каталог!$A:$C,3,0))</f>
        <v/>
      </c>
      <c r="M461" s="22" t="str">
        <f aca="false">IF(I461="","",J461*L461)</f>
        <v/>
      </c>
    </row>
    <row r="462" customFormat="false" ht="15" hidden="false" customHeight="false" outlineLevel="0" collapsed="false">
      <c r="A462" s="26" t="str">
        <f aca="false">IF(B462="","",26)</f>
        <v/>
      </c>
      <c r="B462" s="21" t="str">
        <f aca="false" t="array" ref="B462:B462">IFERROR(INDEX(Заказы!$A$3:$A$29,SMALL(IF(Заказы!$X$3:$X$29&gt;0,ROW(Заказы!$X$3:$X$29)-ROW(X$3)+1),26)),"")</f>
        <v/>
      </c>
      <c r="C462" s="26" t="str">
        <f aca="false">IF(B462="","",INDEX(Заказы!$X$3:$X$29,MATCH(B462,Заказы!$A$3:$A$29,0)))</f>
        <v/>
      </c>
      <c r="D462" s="26" t="str">
        <f aca="false">IF(B462="","",VLOOKUP(B462,Каталог!$A:$C,2,0))</f>
        <v/>
      </c>
      <c r="E462" s="22" t="str">
        <f aca="false">IF(B462="","",VLOOKUP(B462,Каталог!$A:$C,3,0))</f>
        <v/>
      </c>
      <c r="F462" s="22" t="str">
        <f aca="false">IF(B462="","",C462*E462)</f>
        <v/>
      </c>
      <c r="H462" s="26" t="str">
        <f aca="false">IF(I462="","",26)</f>
        <v/>
      </c>
      <c r="I462" s="21" t="str">
        <f aca="false" t="array" ref="I462:I462">IFERROR(INDEX(Заказы!$A$3:$A$29,SMALL(IF(Заказы!$Y$3:$Y$29&gt;0,ROW(Заказы!$Y$3:$Y$29)-ROW(Y$3)+1),26)),"")</f>
        <v/>
      </c>
      <c r="J462" s="26" t="str">
        <f aca="false">IF(I462="","",INDEX(Заказы!$Y$3:$Y$29,MATCH(I462,Заказы!$A$3:$A$29,0)))</f>
        <v/>
      </c>
      <c r="K462" s="26" t="str">
        <f aca="false">IF(I462="","",VLOOKUP(I462,Каталог!$A:$C,2,0))</f>
        <v/>
      </c>
      <c r="L462" s="22" t="str">
        <f aca="false">IF(I462="","",VLOOKUP(I462,Каталог!$A:$C,3,0))</f>
        <v/>
      </c>
      <c r="M462" s="22" t="str">
        <f aca="false">IF(I462="","",J462*L462)</f>
        <v/>
      </c>
    </row>
    <row r="463" customFormat="false" ht="15" hidden="false" customHeight="false" outlineLevel="0" collapsed="false">
      <c r="A463" s="26" t="str">
        <f aca="false">IF(B463="","",27)</f>
        <v/>
      </c>
      <c r="B463" s="21" t="str">
        <f aca="false" t="array" ref="B463:B463">IFERROR(INDEX(Заказы!$A$3:$A$29,SMALL(IF(Заказы!$X$3:$X$29&gt;0,ROW(Заказы!$X$3:$X$29)-ROW(X$3)+1),27)),"")</f>
        <v/>
      </c>
      <c r="C463" s="26" t="str">
        <f aca="false">IF(B463="","",INDEX(Заказы!$X$3:$X$29,MATCH(B463,Заказы!$A$3:$A$29,0)))</f>
        <v/>
      </c>
      <c r="D463" s="26" t="str">
        <f aca="false">IF(B463="","",VLOOKUP(B463,Каталог!$A:$C,2,0))</f>
        <v/>
      </c>
      <c r="E463" s="22" t="str">
        <f aca="false">IF(B463="","",VLOOKUP(B463,Каталог!$A:$C,3,0))</f>
        <v/>
      </c>
      <c r="F463" s="22" t="str">
        <f aca="false">IF(B463="","",C463*E463)</f>
        <v/>
      </c>
      <c r="H463" s="26" t="str">
        <f aca="false">IF(I463="","",27)</f>
        <v/>
      </c>
      <c r="I463" s="21" t="str">
        <f aca="false" t="array" ref="I463:I463">IFERROR(INDEX(Заказы!$A$3:$A$29,SMALL(IF(Заказы!$Y$3:$Y$29&gt;0,ROW(Заказы!$Y$3:$Y$29)-ROW(Y$3)+1),27)),"")</f>
        <v/>
      </c>
      <c r="J463" s="26" t="str">
        <f aca="false">IF(I463="","",INDEX(Заказы!$Y$3:$Y$29,MATCH(I463,Заказы!$A$3:$A$29,0)))</f>
        <v/>
      </c>
      <c r="K463" s="26" t="str">
        <f aca="false">IF(I463="","",VLOOKUP(I463,Каталог!$A:$C,2,0))</f>
        <v/>
      </c>
      <c r="L463" s="22" t="str">
        <f aca="false">IF(I463="","",VLOOKUP(I463,Каталог!$A:$C,3,0))</f>
        <v/>
      </c>
      <c r="M463" s="22" t="str">
        <f aca="false">IF(I463="","",J463*L463)</f>
        <v/>
      </c>
    </row>
    <row r="464" customFormat="false" ht="15" hidden="false" customHeight="false" outlineLevel="0" collapsed="false">
      <c r="A464" s="23"/>
      <c r="B464" s="23"/>
      <c r="C464" s="23"/>
      <c r="D464" s="23"/>
      <c r="E464" s="23"/>
      <c r="F464" s="23"/>
      <c r="H464" s="23"/>
      <c r="I464" s="23"/>
      <c r="J464" s="23"/>
      <c r="K464" s="23"/>
      <c r="L464" s="23"/>
      <c r="M464" s="23"/>
    </row>
    <row r="465" customFormat="false" ht="15" hidden="false" customHeight="false" outlineLevel="0" collapsed="false">
      <c r="A465" s="24" t="str">
        <f aca="false">IF(COUNTIF(Заказы!$X$3:$X$29,"&gt;0")=0,"","Итого:")</f>
        <v/>
      </c>
      <c r="B465" s="24"/>
      <c r="C465" s="24"/>
      <c r="D465" s="24"/>
      <c r="E465" s="25" t="str">
        <f aca="false">IF(COUNTIF(Заказы!$X$3:$X$29,"&gt;0")=0,"",SUM(F437:F463))</f>
        <v/>
      </c>
      <c r="F465" s="25"/>
      <c r="H465" s="24" t="str">
        <f aca="false">IF(COUNTIF(Заказы!$Y$3:$Y$29,"&gt;0")=0,"","Итого:")</f>
        <v/>
      </c>
      <c r="I465" s="24"/>
      <c r="J465" s="24"/>
      <c r="K465" s="24"/>
      <c r="L465" s="25" t="str">
        <f aca="false">IF(COUNTIF(Заказы!$Y$3:$Y$29,"&gt;0")=0,"",SUM(M437:M463))</f>
        <v/>
      </c>
      <c r="M465" s="25"/>
    </row>
    <row r="467" customFormat="false" ht="15" hidden="false" customHeight="false" outlineLevel="0" collapsed="false">
      <c r="A467" s="18" t="str">
        <f aca="false">IF(COUNTIF(Заказы!$X$3:$X$29,"&gt;0")=0,"","Подпись отправителя: __________________")</f>
        <v/>
      </c>
      <c r="B467" s="18"/>
      <c r="C467" s="18"/>
      <c r="D467" s="18"/>
      <c r="E467" s="18"/>
      <c r="F467" s="18"/>
      <c r="H467" s="18" t="str">
        <f aca="false">IF(COUNTIF(Заказы!$Y$3:$Y$29,"&gt;0")=0,"","Подпись отправителя: __________________")</f>
        <v/>
      </c>
      <c r="I467" s="18"/>
      <c r="J467" s="18"/>
      <c r="K467" s="18"/>
      <c r="L467" s="18"/>
      <c r="M467" s="18"/>
    </row>
    <row r="468" customFormat="false" ht="15" hidden="false" customHeight="false" outlineLevel="0" collapsed="false">
      <c r="A468" s="18" t="str">
        <f aca="false">IF(COUNTIF(Заказы!$X$3:$X$29,"&gt;0")=0,"","Подпись получателя: ___________________")</f>
        <v/>
      </c>
      <c r="B468" s="18"/>
      <c r="C468" s="18"/>
      <c r="D468" s="18"/>
      <c r="E468" s="18"/>
      <c r="F468" s="18"/>
      <c r="H468" s="18" t="str">
        <f aca="false">IF(COUNTIF(Заказы!$Y$3:$Y$29,"&gt;0")=0,"","Подпись получателя: ___________________")</f>
        <v/>
      </c>
      <c r="I468" s="18"/>
      <c r="J468" s="18"/>
      <c r="K468" s="18"/>
      <c r="L468" s="18"/>
      <c r="M468" s="18"/>
    </row>
  </sheetData>
  <mergeCells count="192">
    <mergeCell ref="A2:F2"/>
    <mergeCell ref="H2:M2"/>
    <mergeCell ref="A3:F3"/>
    <mergeCell ref="H3:M3"/>
    <mergeCell ref="A4:F4"/>
    <mergeCell ref="H4:M4"/>
    <mergeCell ref="A5:F5"/>
    <mergeCell ref="H5:M5"/>
    <mergeCell ref="A36:D36"/>
    <mergeCell ref="E36:F36"/>
    <mergeCell ref="H36:K36"/>
    <mergeCell ref="L36:M36"/>
    <mergeCell ref="A38:F38"/>
    <mergeCell ref="H38:M38"/>
    <mergeCell ref="A39:F39"/>
    <mergeCell ref="H39:M39"/>
    <mergeCell ref="A41:F41"/>
    <mergeCell ref="H41:M41"/>
    <mergeCell ref="A42:F42"/>
    <mergeCell ref="H42:M42"/>
    <mergeCell ref="A43:F43"/>
    <mergeCell ref="H43:M43"/>
    <mergeCell ref="A44:F44"/>
    <mergeCell ref="H44:M44"/>
    <mergeCell ref="A75:D75"/>
    <mergeCell ref="E75:F75"/>
    <mergeCell ref="H75:K75"/>
    <mergeCell ref="L75:M75"/>
    <mergeCell ref="A77:F77"/>
    <mergeCell ref="H77:M77"/>
    <mergeCell ref="A78:F78"/>
    <mergeCell ref="H78:M78"/>
    <mergeCell ref="A80:F80"/>
    <mergeCell ref="H80:M80"/>
    <mergeCell ref="A81:F81"/>
    <mergeCell ref="H81:M81"/>
    <mergeCell ref="A82:F82"/>
    <mergeCell ref="H82:M82"/>
    <mergeCell ref="A83:F83"/>
    <mergeCell ref="H83:M83"/>
    <mergeCell ref="A114:D114"/>
    <mergeCell ref="E114:F114"/>
    <mergeCell ref="H114:K114"/>
    <mergeCell ref="L114:M114"/>
    <mergeCell ref="A116:F116"/>
    <mergeCell ref="H116:M116"/>
    <mergeCell ref="A117:F117"/>
    <mergeCell ref="H117:M117"/>
    <mergeCell ref="A119:F119"/>
    <mergeCell ref="H119:M119"/>
    <mergeCell ref="A120:F120"/>
    <mergeCell ref="H120:M120"/>
    <mergeCell ref="A121:F121"/>
    <mergeCell ref="H121:M121"/>
    <mergeCell ref="A122:F122"/>
    <mergeCell ref="H122:M122"/>
    <mergeCell ref="A153:D153"/>
    <mergeCell ref="E153:F153"/>
    <mergeCell ref="H153:K153"/>
    <mergeCell ref="L153:M153"/>
    <mergeCell ref="A155:F155"/>
    <mergeCell ref="H155:M155"/>
    <mergeCell ref="A156:F156"/>
    <mergeCell ref="H156:M156"/>
    <mergeCell ref="A158:F158"/>
    <mergeCell ref="H158:M158"/>
    <mergeCell ref="A159:F159"/>
    <mergeCell ref="H159:M159"/>
    <mergeCell ref="A160:F160"/>
    <mergeCell ref="H160:M160"/>
    <mergeCell ref="A161:F161"/>
    <mergeCell ref="H161:M161"/>
    <mergeCell ref="A192:D192"/>
    <mergeCell ref="E192:F192"/>
    <mergeCell ref="H192:K192"/>
    <mergeCell ref="L192:M192"/>
    <mergeCell ref="A194:F194"/>
    <mergeCell ref="H194:M194"/>
    <mergeCell ref="A195:F195"/>
    <mergeCell ref="H195:M195"/>
    <mergeCell ref="A197:F197"/>
    <mergeCell ref="H197:M197"/>
    <mergeCell ref="A198:F198"/>
    <mergeCell ref="H198:M198"/>
    <mergeCell ref="A199:F199"/>
    <mergeCell ref="H199:M199"/>
    <mergeCell ref="A200:F200"/>
    <mergeCell ref="H200:M200"/>
    <mergeCell ref="A231:D231"/>
    <mergeCell ref="E231:F231"/>
    <mergeCell ref="H231:K231"/>
    <mergeCell ref="L231:M231"/>
    <mergeCell ref="A233:F233"/>
    <mergeCell ref="H233:M233"/>
    <mergeCell ref="A234:F234"/>
    <mergeCell ref="H234:M234"/>
    <mergeCell ref="A236:F236"/>
    <mergeCell ref="H236:M236"/>
    <mergeCell ref="A237:F237"/>
    <mergeCell ref="H237:M237"/>
    <mergeCell ref="A238:F238"/>
    <mergeCell ref="H238:M238"/>
    <mergeCell ref="A239:F239"/>
    <mergeCell ref="H239:M239"/>
    <mergeCell ref="A270:D270"/>
    <mergeCell ref="E270:F270"/>
    <mergeCell ref="H270:K270"/>
    <mergeCell ref="L270:M270"/>
    <mergeCell ref="A272:F272"/>
    <mergeCell ref="H272:M272"/>
    <mergeCell ref="A273:F273"/>
    <mergeCell ref="H273:M273"/>
    <mergeCell ref="A275:F275"/>
    <mergeCell ref="H275:M275"/>
    <mergeCell ref="A276:F276"/>
    <mergeCell ref="H276:M276"/>
    <mergeCell ref="A277:F277"/>
    <mergeCell ref="H277:M277"/>
    <mergeCell ref="A278:F278"/>
    <mergeCell ref="H278:M278"/>
    <mergeCell ref="A309:D309"/>
    <mergeCell ref="E309:F309"/>
    <mergeCell ref="H309:K309"/>
    <mergeCell ref="L309:M309"/>
    <mergeCell ref="A311:F311"/>
    <mergeCell ref="H311:M311"/>
    <mergeCell ref="A312:F312"/>
    <mergeCell ref="H312:M312"/>
    <mergeCell ref="A314:F314"/>
    <mergeCell ref="H314:M314"/>
    <mergeCell ref="A315:F315"/>
    <mergeCell ref="H315:M315"/>
    <mergeCell ref="A316:F316"/>
    <mergeCell ref="H316:M316"/>
    <mergeCell ref="A317:F317"/>
    <mergeCell ref="H317:M317"/>
    <mergeCell ref="A348:D348"/>
    <mergeCell ref="E348:F348"/>
    <mergeCell ref="H348:K348"/>
    <mergeCell ref="L348:M348"/>
    <mergeCell ref="A350:F350"/>
    <mergeCell ref="H350:M350"/>
    <mergeCell ref="A351:F351"/>
    <mergeCell ref="H351:M351"/>
    <mergeCell ref="A353:F353"/>
    <mergeCell ref="H353:M353"/>
    <mergeCell ref="A354:F354"/>
    <mergeCell ref="H354:M354"/>
    <mergeCell ref="A355:F355"/>
    <mergeCell ref="H355:M355"/>
    <mergeCell ref="A356:F356"/>
    <mergeCell ref="H356:M356"/>
    <mergeCell ref="A387:D387"/>
    <mergeCell ref="E387:F387"/>
    <mergeCell ref="H387:K387"/>
    <mergeCell ref="L387:M387"/>
    <mergeCell ref="A389:F389"/>
    <mergeCell ref="H389:M389"/>
    <mergeCell ref="A390:F390"/>
    <mergeCell ref="H390:M390"/>
    <mergeCell ref="A392:F392"/>
    <mergeCell ref="H392:M392"/>
    <mergeCell ref="A393:F393"/>
    <mergeCell ref="H393:M393"/>
    <mergeCell ref="A394:F394"/>
    <mergeCell ref="H394:M394"/>
    <mergeCell ref="A395:F395"/>
    <mergeCell ref="H395:M395"/>
    <mergeCell ref="A426:D426"/>
    <mergeCell ref="E426:F426"/>
    <mergeCell ref="H426:K426"/>
    <mergeCell ref="L426:M426"/>
    <mergeCell ref="A428:F428"/>
    <mergeCell ref="H428:M428"/>
    <mergeCell ref="A429:F429"/>
    <mergeCell ref="H429:M429"/>
    <mergeCell ref="A431:F431"/>
    <mergeCell ref="H431:M431"/>
    <mergeCell ref="A432:F432"/>
    <mergeCell ref="H432:M432"/>
    <mergeCell ref="A433:F433"/>
    <mergeCell ref="H433:M433"/>
    <mergeCell ref="A434:F434"/>
    <mergeCell ref="H434:M434"/>
    <mergeCell ref="A465:D465"/>
    <mergeCell ref="E465:F465"/>
    <mergeCell ref="H465:K465"/>
    <mergeCell ref="L465:M465"/>
    <mergeCell ref="A467:F467"/>
    <mergeCell ref="H467:M467"/>
    <mergeCell ref="A468:F468"/>
    <mergeCell ref="H468:M468"/>
  </mergeCells>
  <conditionalFormatting sqref="A2:F39">
    <cfRule type="expression" priority="2" aboveAverage="0" equalAverage="0" bottom="0" percent="0" rank="0" text="" dxfId="0">
      <formula>COUNTIF(Заказы!$B$3:$B$29,"&gt;0")=0</formula>
    </cfRule>
  </conditionalFormatting>
  <conditionalFormatting sqref="H2:M39">
    <cfRule type="expression" priority="3" aboveAverage="0" equalAverage="0" bottom="0" percent="0" rank="0" text="" dxfId="0">
      <formula>COUNTIF(Заказы!$C$3:$C$29,"&gt;0")=0</formula>
    </cfRule>
  </conditionalFormatting>
  <conditionalFormatting sqref="A41:F78">
    <cfRule type="expression" priority="4" aboveAverage="0" equalAverage="0" bottom="0" percent="0" rank="0" text="" dxfId="0">
      <formula>COUNTIF(Заказы!$D$3:$D$29,"&gt;0")=0</formula>
    </cfRule>
  </conditionalFormatting>
  <conditionalFormatting sqref="H41:M78">
    <cfRule type="expression" priority="5" aboveAverage="0" equalAverage="0" bottom="0" percent="0" rank="0" text="" dxfId="0">
      <formula>COUNTIF(Заказы!$E$3:$E$29,"&gt;0")=0</formula>
    </cfRule>
  </conditionalFormatting>
  <conditionalFormatting sqref="A80:F117">
    <cfRule type="expression" priority="6" aboveAverage="0" equalAverage="0" bottom="0" percent="0" rank="0" text="" dxfId="0">
      <formula>COUNTIF(Заказы!$F$3:$F$29,"&gt;0")=0</formula>
    </cfRule>
  </conditionalFormatting>
  <conditionalFormatting sqref="H80:M117">
    <cfRule type="expression" priority="7" aboveAverage="0" equalAverage="0" bottom="0" percent="0" rank="0" text="" dxfId="0">
      <formula>COUNTIF(Заказы!$G$3:$G$29,"&gt;0")=0</formula>
    </cfRule>
  </conditionalFormatting>
  <conditionalFormatting sqref="A119:F156">
    <cfRule type="expression" priority="8" aboveAverage="0" equalAverage="0" bottom="0" percent="0" rank="0" text="" dxfId="0">
      <formula>COUNTIF(Заказы!$H$3:$H$29,"&gt;0")=0</formula>
    </cfRule>
  </conditionalFormatting>
  <conditionalFormatting sqref="H119:M156">
    <cfRule type="expression" priority="9" aboveAverage="0" equalAverage="0" bottom="0" percent="0" rank="0" text="" dxfId="0">
      <formula>COUNTIF(Заказы!$I$3:$I$29,"&gt;0")=0</formula>
    </cfRule>
  </conditionalFormatting>
  <conditionalFormatting sqref="A158:F195">
    <cfRule type="expression" priority="10" aboveAverage="0" equalAverage="0" bottom="0" percent="0" rank="0" text="" dxfId="0">
      <formula>COUNTIF(Заказы!$J$3:$J$29,"&gt;0")=0</formula>
    </cfRule>
  </conditionalFormatting>
  <conditionalFormatting sqref="H158:M195">
    <cfRule type="expression" priority="11" aboveAverage="0" equalAverage="0" bottom="0" percent="0" rank="0" text="" dxfId="0">
      <formula>COUNTIF(Заказы!$K$3:$K$29,"&gt;0")=0</formula>
    </cfRule>
  </conditionalFormatting>
  <conditionalFormatting sqref="A197:F234">
    <cfRule type="expression" priority="12" aboveAverage="0" equalAverage="0" bottom="0" percent="0" rank="0" text="" dxfId="0">
      <formula>COUNTIF(Заказы!$L$3:$L$29,"&gt;0")=0</formula>
    </cfRule>
  </conditionalFormatting>
  <conditionalFormatting sqref="H197:M234">
    <cfRule type="expression" priority="13" aboveAverage="0" equalAverage="0" bottom="0" percent="0" rank="0" text="" dxfId="0">
      <formula>COUNTIF(Заказы!$M$3:$M$29,"&gt;0")=0</formula>
    </cfRule>
  </conditionalFormatting>
  <conditionalFormatting sqref="A236:F273">
    <cfRule type="expression" priority="14" aboveAverage="0" equalAverage="0" bottom="0" percent="0" rank="0" text="" dxfId="0">
      <formula>COUNTIF(Заказы!$N$3:$N$29,"&gt;0")=0</formula>
    </cfRule>
  </conditionalFormatting>
  <conditionalFormatting sqref="H236:M273">
    <cfRule type="expression" priority="15" aboveAverage="0" equalAverage="0" bottom="0" percent="0" rank="0" text="" dxfId="0">
      <formula>COUNTIF(Заказы!$O$3:$O$29,"&gt;0")=0</formula>
    </cfRule>
  </conditionalFormatting>
  <conditionalFormatting sqref="A275:F312">
    <cfRule type="expression" priority="16" aboveAverage="0" equalAverage="0" bottom="0" percent="0" rank="0" text="" dxfId="0">
      <formula>COUNTIF(Заказы!$P$3:$P$29,"&gt;0")=0</formula>
    </cfRule>
  </conditionalFormatting>
  <conditionalFormatting sqref="H275:M312">
    <cfRule type="expression" priority="17" aboveAverage="0" equalAverage="0" bottom="0" percent="0" rank="0" text="" dxfId="0">
      <formula>COUNTIF(Заказы!$Q$3:$Q$29,"&gt;0")=0</formula>
    </cfRule>
  </conditionalFormatting>
  <conditionalFormatting sqref="A314:F351">
    <cfRule type="expression" priority="18" aboveAverage="0" equalAverage="0" bottom="0" percent="0" rank="0" text="" dxfId="0">
      <formula>COUNTIF(Заказы!$R$3:$R$29,"&gt;0")=0</formula>
    </cfRule>
  </conditionalFormatting>
  <conditionalFormatting sqref="H314:M351">
    <cfRule type="expression" priority="19" aboveAverage="0" equalAverage="0" bottom="0" percent="0" rank="0" text="" dxfId="0">
      <formula>COUNTIF(Заказы!$S$3:$S$29,"&gt;0")=0</formula>
    </cfRule>
  </conditionalFormatting>
  <conditionalFormatting sqref="A353:F390">
    <cfRule type="expression" priority="20" aboveAverage="0" equalAverage="0" bottom="0" percent="0" rank="0" text="" dxfId="0">
      <formula>COUNTIF(Заказы!$T$3:$T$29,"&gt;0")=0</formula>
    </cfRule>
  </conditionalFormatting>
  <conditionalFormatting sqref="H353:M390">
    <cfRule type="expression" priority="21" aboveAverage="0" equalAverage="0" bottom="0" percent="0" rank="0" text="" dxfId="0">
      <formula>COUNTIF(Заказы!$U$3:$U$29,"&gt;0")=0</formula>
    </cfRule>
  </conditionalFormatting>
  <conditionalFormatting sqref="A392:F429">
    <cfRule type="expression" priority="22" aboveAverage="0" equalAverage="0" bottom="0" percent="0" rank="0" text="" dxfId="0">
      <formula>COUNTIF(Заказы!$V$3:$V$29,"&gt;0")=0</formula>
    </cfRule>
  </conditionalFormatting>
  <conditionalFormatting sqref="H392:M429">
    <cfRule type="expression" priority="23" aboveAverage="0" equalAverage="0" bottom="0" percent="0" rank="0" text="" dxfId="0">
      <formula>COUNTIF(Заказы!$W$3:$W$29,"&gt;0")=0</formula>
    </cfRule>
  </conditionalFormatting>
  <conditionalFormatting sqref="A431:F468">
    <cfRule type="expression" priority="24" aboveAverage="0" equalAverage="0" bottom="0" percent="0" rank="0" text="" dxfId="0">
      <formula>COUNTIF(Заказы!$X$3:$X$29,"&gt;0")=0</formula>
    </cfRule>
  </conditionalFormatting>
  <conditionalFormatting sqref="H431:M468">
    <cfRule type="expression" priority="25" aboveAverage="0" equalAverage="0" bottom="0" percent="0" rank="0" text="" dxfId="0">
      <formula>COUNTIF(Заказы!$Y$3:$Y$29,"&gt;0")=0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2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1" manualBreakCount="11">
    <brk id="40" man="true" max="16383" min="0"/>
    <brk id="79" man="true" max="16383" min="0"/>
    <brk id="118" man="true" max="16383" min="0"/>
    <brk id="157" man="true" max="16383" min="0"/>
    <brk id="196" man="true" max="16383" min="0"/>
    <brk id="235" man="true" max="16383" min="0"/>
    <brk id="274" man="true" max="16383" min="0"/>
    <brk id="313" man="true" max="16383" min="0"/>
    <brk id="352" man="true" max="16383" min="0"/>
    <brk id="391" man="true" max="16383" min="0"/>
    <brk id="43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2026-09-22T10:20:43Z</dcterms:created>
  <dc:creator>openpyxl</dc:creator>
  <dc:description/>
  <dc:language>en-US</dc:language>
  <cp:lastModifiedBy/>
  <dcterms:modified xsi:type="dcterms:W3CDTF">2026-09-22T10:20:43Z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